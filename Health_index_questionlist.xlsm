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working\LNF\"/>
    </mc:Choice>
  </mc:AlternateContent>
  <xr:revisionPtr revIDLastSave="0" documentId="13_ncr:1_{7E5FE045-F5E7-4755-80E0-9E8573F4D83A}" xr6:coauthVersionLast="47" xr6:coauthVersionMax="47" xr10:uidLastSave="{00000000-0000-0000-0000-000000000000}"/>
  <bookViews>
    <workbookView xWindow="-110" yWindow="-110" windowWidth="19420" windowHeight="10420" firstSheet="6" activeTab="6" xr2:uid="{00000000-000D-0000-FFFF-FFFF00000000}"/>
  </bookViews>
  <sheets>
    <sheet name="Questionnaire" sheetId="4" r:id="rId1"/>
    <sheet name="Health Score Algorithm" sheetId="2" r:id="rId2"/>
    <sheet name="Interpreted Score" sheetId="3" r:id="rId3"/>
    <sheet name="BP Reference Range" sheetId="7" r:id="rId4"/>
    <sheet name="Glucose Reference Range" sheetId="8" r:id="rId5"/>
    <sheet name="customer" sheetId="12" r:id="rId6"/>
    <sheet name="group" sheetId="10" r:id="rId7"/>
    <sheet name="question" sheetId="11" r:id="rId8"/>
    <sheet name="response" sheetId="13" r:id="rId9"/>
    <sheet name="question_relation" sheetId="17" r:id="rId10"/>
    <sheet name="test_bundle" sheetId="28" r:id="rId11"/>
    <sheet name="test_detail" sheetId="29" r:id="rId12"/>
    <sheet name="test_result" sheetId="30" r:id="rId13"/>
    <sheet name="test_trigger" sheetId="31" r:id="rId14"/>
    <sheet name="Decision Tree" sheetId="27" r:id="rId15"/>
    <sheet name="customer_response" sheetId="14" r:id="rId16"/>
    <sheet name="questionnaire_input" sheetId="18" r:id="rId17"/>
    <sheet name="bmi" sheetId="19" r:id="rId18"/>
    <sheet name="waist_hip" sheetId="20" r:id="rId19"/>
    <sheet name="sleep" sheetId="21" r:id="rId20"/>
    <sheet name="config" sheetId="22" r:id="rId21"/>
    <sheet name="language" sheetId="23" r:id="rId22"/>
    <sheet name="Sheet1" sheetId="26" r:id="rId23"/>
    <sheet name="ObjectInputSet" sheetId="24" r:id="rId24"/>
    <sheet name="QueryOutput" sheetId="25" r:id="rId25"/>
  </sheets>
  <functionGroups builtInGroupCount="19"/>
  <externalReferences>
    <externalReference r:id="rId26"/>
  </externalReferences>
  <definedNames>
    <definedName name="_xlnm._FilterDatabase" localSheetId="15" hidden="1">customer_response!$A$1:$S$519</definedName>
    <definedName name="_xlnm._FilterDatabase" localSheetId="12" hidden="1">test_result!$A$1:$K$151</definedName>
    <definedName name="bmi">[1]LOV!$L$2:$L$6</definedName>
    <definedName name="elevation">[1]LOV!$G$2:$G$8</definedName>
    <definedName name="exercise">[1]LOV!$B$2:$B$4</definedName>
    <definedName name="gender">[1]LOV!$K$2:$K$3</definedName>
    <definedName name="hip">[1]LOV!$M$2:$M$5</definedName>
    <definedName name="phq">[1]LOV!$E$2:$E$4</definedName>
    <definedName name="sleep">[1]LOV!$D$2:$D$4</definedName>
    <definedName name="water">[1]LOV!$F$2:$F$4</definedName>
    <definedName name="yn">[1]LOV!$C$2:$C$3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51" i="30" l="1"/>
  <c r="O150" i="30"/>
  <c r="O149" i="30"/>
  <c r="O148" i="30"/>
  <c r="O147" i="30"/>
  <c r="O146" i="30"/>
  <c r="O145" i="30"/>
  <c r="O144" i="30"/>
  <c r="O143" i="30"/>
  <c r="O142" i="30"/>
  <c r="O141" i="30"/>
  <c r="O140" i="30"/>
  <c r="O139" i="30"/>
  <c r="O138" i="30"/>
  <c r="O137" i="30"/>
  <c r="O136" i="30"/>
  <c r="O135" i="30"/>
  <c r="O134" i="30"/>
  <c r="O133" i="30"/>
  <c r="O132" i="30"/>
  <c r="O131" i="30"/>
  <c r="O130" i="30"/>
  <c r="O129" i="30"/>
  <c r="O128" i="30"/>
  <c r="O127" i="30"/>
  <c r="O126" i="30"/>
  <c r="O125" i="30"/>
  <c r="O124" i="30"/>
  <c r="O123" i="30"/>
  <c r="O122" i="30"/>
  <c r="O121" i="30"/>
  <c r="O120" i="30"/>
  <c r="O119" i="30"/>
  <c r="O118" i="30"/>
  <c r="O117" i="30"/>
  <c r="O116" i="30"/>
  <c r="O115" i="30"/>
  <c r="O114" i="30"/>
  <c r="O113" i="30"/>
  <c r="O112" i="30"/>
  <c r="O111" i="30"/>
  <c r="O110" i="30"/>
  <c r="O109" i="30"/>
  <c r="O108" i="30"/>
  <c r="O107" i="30"/>
  <c r="O106" i="30"/>
  <c r="O105" i="30"/>
  <c r="O104" i="30"/>
  <c r="O103" i="30"/>
  <c r="O102" i="30"/>
  <c r="O101" i="30"/>
  <c r="O100" i="30"/>
  <c r="O99" i="30"/>
  <c r="O98" i="30"/>
  <c r="O97" i="30"/>
  <c r="O96" i="30"/>
  <c r="O95" i="30"/>
  <c r="O94" i="30"/>
  <c r="O93" i="30"/>
  <c r="O92" i="30"/>
  <c r="O91" i="30"/>
  <c r="O90" i="30"/>
  <c r="O89" i="30"/>
  <c r="O88" i="30"/>
  <c r="O87" i="30"/>
  <c r="O86" i="30"/>
  <c r="O85" i="30"/>
  <c r="O84" i="30"/>
  <c r="O83" i="30"/>
  <c r="O82" i="30"/>
  <c r="O81" i="30"/>
  <c r="O80" i="30"/>
  <c r="O79" i="30"/>
  <c r="O78" i="30"/>
  <c r="O77" i="30"/>
  <c r="O76" i="30"/>
  <c r="O75" i="30"/>
  <c r="O74" i="30"/>
  <c r="O73" i="30"/>
  <c r="O72" i="30"/>
  <c r="O71" i="30"/>
  <c r="O70" i="30"/>
  <c r="O69" i="30"/>
  <c r="O68" i="30"/>
  <c r="O67" i="30"/>
  <c r="O66" i="30"/>
  <c r="O65" i="30"/>
  <c r="O64" i="30"/>
  <c r="O63" i="30"/>
  <c r="O62" i="30"/>
  <c r="O61" i="30"/>
  <c r="O60" i="30"/>
  <c r="O59" i="30"/>
  <c r="O58" i="30"/>
  <c r="O57" i="30"/>
  <c r="O56" i="30"/>
  <c r="O55" i="30"/>
  <c r="O54" i="30"/>
  <c r="O53" i="30"/>
  <c r="O52" i="30"/>
  <c r="O51" i="30"/>
  <c r="O50" i="30"/>
  <c r="O49" i="30"/>
  <c r="O48" i="30"/>
  <c r="O47" i="30"/>
  <c r="O46" i="30"/>
  <c r="O45" i="30"/>
  <c r="O44" i="30"/>
  <c r="O43" i="30"/>
  <c r="O42" i="30"/>
  <c r="O41" i="30"/>
  <c r="O40" i="30"/>
  <c r="O39" i="30"/>
  <c r="O38" i="30"/>
  <c r="O37" i="30"/>
  <c r="O36" i="30"/>
  <c r="O35" i="30"/>
  <c r="O34" i="30"/>
  <c r="O33" i="30"/>
  <c r="O32" i="30"/>
  <c r="O31" i="30"/>
  <c r="O30" i="30"/>
  <c r="O29" i="30"/>
  <c r="O28" i="30"/>
  <c r="O27" i="30"/>
  <c r="O26" i="30"/>
  <c r="O25" i="30"/>
  <c r="O24" i="30"/>
  <c r="O23" i="30"/>
  <c r="O22" i="30"/>
  <c r="O21" i="30"/>
  <c r="O20" i="30"/>
  <c r="O19" i="30"/>
  <c r="O18" i="30"/>
  <c r="O17" i="30"/>
  <c r="O16" i="30"/>
  <c r="O15" i="30"/>
  <c r="O14" i="30"/>
  <c r="O13" i="30"/>
  <c r="O12" i="30"/>
  <c r="O11" i="30"/>
  <c r="O10" i="30"/>
  <c r="O9" i="30"/>
  <c r="O8" i="30"/>
  <c r="O7" i="30"/>
  <c r="O6" i="30"/>
  <c r="O5" i="30"/>
  <c r="O4" i="30"/>
  <c r="O3" i="30"/>
  <c r="O2" i="30"/>
  <c r="H4" i="10"/>
  <c r="H3" i="10"/>
  <c r="H2" i="10"/>
  <c r="M151" i="30"/>
  <c r="M150" i="30"/>
  <c r="M149" i="30"/>
  <c r="M148" i="30"/>
  <c r="M147" i="30"/>
  <c r="M146" i="30"/>
  <c r="M145" i="30"/>
  <c r="M144" i="30"/>
  <c r="M143" i="30"/>
  <c r="M142" i="30"/>
  <c r="M141" i="30"/>
  <c r="M140" i="30"/>
  <c r="M139" i="30"/>
  <c r="M138" i="30"/>
  <c r="M137" i="30"/>
  <c r="M136" i="30"/>
  <c r="M135" i="30"/>
  <c r="M134" i="30"/>
  <c r="M133" i="30"/>
  <c r="M132" i="30"/>
  <c r="M131" i="30"/>
  <c r="M130" i="30"/>
  <c r="M129" i="30"/>
  <c r="M128" i="30"/>
  <c r="M127" i="30"/>
  <c r="M126" i="30"/>
  <c r="M125" i="30"/>
  <c r="M124" i="30"/>
  <c r="M123" i="30"/>
  <c r="M122" i="30"/>
  <c r="M121" i="30"/>
  <c r="M120" i="30"/>
  <c r="M119" i="30"/>
  <c r="M118" i="30"/>
  <c r="M117" i="30"/>
  <c r="M116" i="30"/>
  <c r="M115" i="30"/>
  <c r="M114" i="30"/>
  <c r="M113" i="30"/>
  <c r="M112" i="30"/>
  <c r="M111" i="30"/>
  <c r="M110" i="30"/>
  <c r="M109" i="30"/>
  <c r="M108" i="30"/>
  <c r="M107" i="30"/>
  <c r="M106" i="30"/>
  <c r="M105" i="30"/>
  <c r="M104" i="30"/>
  <c r="M103" i="30"/>
  <c r="M102" i="30"/>
  <c r="M101" i="30"/>
  <c r="M100" i="30"/>
  <c r="M99" i="30"/>
  <c r="M98" i="30"/>
  <c r="M97" i="30"/>
  <c r="M96" i="30"/>
  <c r="M95" i="30"/>
  <c r="M94" i="30"/>
  <c r="M93" i="30"/>
  <c r="M92" i="30"/>
  <c r="M91" i="30"/>
  <c r="M90" i="30"/>
  <c r="M89" i="30"/>
  <c r="M88" i="30"/>
  <c r="M87" i="30"/>
  <c r="M86" i="30"/>
  <c r="M85" i="30"/>
  <c r="M84" i="30"/>
  <c r="M83" i="30"/>
  <c r="M82" i="30"/>
  <c r="M81" i="30"/>
  <c r="M80" i="30"/>
  <c r="M79" i="30"/>
  <c r="M78" i="30"/>
  <c r="M77" i="30"/>
  <c r="M76" i="30"/>
  <c r="M75" i="30"/>
  <c r="M74" i="30"/>
  <c r="M73" i="30"/>
  <c r="M72" i="30"/>
  <c r="M71" i="30"/>
  <c r="M70" i="30"/>
  <c r="M69" i="30"/>
  <c r="M68" i="30"/>
  <c r="M67" i="30"/>
  <c r="M66" i="30"/>
  <c r="M65" i="30"/>
  <c r="M64" i="30"/>
  <c r="M63" i="30"/>
  <c r="M62" i="30"/>
  <c r="M61" i="30"/>
  <c r="M60" i="30"/>
  <c r="M59" i="30"/>
  <c r="M58" i="30"/>
  <c r="M57" i="30"/>
  <c r="M56" i="30"/>
  <c r="M55" i="30"/>
  <c r="M54" i="30"/>
  <c r="M53" i="30"/>
  <c r="M52" i="30"/>
  <c r="M51" i="30"/>
  <c r="M50" i="30"/>
  <c r="M49" i="30"/>
  <c r="M48" i="30"/>
  <c r="M47" i="30"/>
  <c r="M46" i="30"/>
  <c r="M45" i="30"/>
  <c r="M44" i="30"/>
  <c r="M43" i="30"/>
  <c r="M42" i="30"/>
  <c r="M41" i="30"/>
  <c r="M40" i="30"/>
  <c r="M39" i="30"/>
  <c r="M38" i="30"/>
  <c r="M37" i="30"/>
  <c r="M36" i="30"/>
  <c r="M35" i="30"/>
  <c r="M34" i="30"/>
  <c r="M33" i="30"/>
  <c r="M32" i="30"/>
  <c r="M31" i="30"/>
  <c r="M30" i="30"/>
  <c r="M29" i="30"/>
  <c r="M28" i="30"/>
  <c r="M27" i="30"/>
  <c r="M26" i="30"/>
  <c r="M25" i="30"/>
  <c r="M24" i="30"/>
  <c r="M23" i="30"/>
  <c r="M22" i="30"/>
  <c r="M21" i="30"/>
  <c r="M20" i="30"/>
  <c r="M19" i="30"/>
  <c r="M18" i="30"/>
  <c r="M17" i="30"/>
  <c r="M16" i="30"/>
  <c r="M15" i="30"/>
  <c r="M14" i="30"/>
  <c r="M13" i="30"/>
  <c r="M12" i="30"/>
  <c r="M11" i="30"/>
  <c r="M10" i="30"/>
  <c r="M9" i="30"/>
  <c r="M8" i="30"/>
  <c r="M7" i="30"/>
  <c r="M6" i="30"/>
  <c r="M5" i="30"/>
  <c r="M4" i="30"/>
  <c r="M3" i="30"/>
  <c r="M2" i="30"/>
  <c r="I40" i="29"/>
  <c r="I39" i="29"/>
  <c r="I38" i="29"/>
  <c r="I37" i="29"/>
  <c r="I36" i="29"/>
  <c r="I35" i="29"/>
  <c r="I34" i="29"/>
  <c r="I33" i="29"/>
  <c r="I32" i="29"/>
  <c r="I31" i="29"/>
  <c r="I30" i="29"/>
  <c r="I29" i="29"/>
  <c r="I28" i="29"/>
  <c r="I27" i="29"/>
  <c r="I26" i="29"/>
  <c r="I25" i="29"/>
  <c r="I24" i="29"/>
  <c r="I23" i="29"/>
  <c r="I22" i="29"/>
  <c r="I21" i="29"/>
  <c r="I20" i="29"/>
  <c r="I19" i="29"/>
  <c r="I18" i="29"/>
  <c r="I17" i="29"/>
  <c r="I16" i="29"/>
  <c r="I15" i="29"/>
  <c r="I14" i="29"/>
  <c r="I13" i="29"/>
  <c r="I12" i="29"/>
  <c r="I11" i="29"/>
  <c r="I10" i="29"/>
  <c r="I9" i="29"/>
  <c r="I8" i="29"/>
  <c r="I7" i="29"/>
  <c r="I6" i="29"/>
  <c r="I5" i="29"/>
  <c r="I4" i="29"/>
  <c r="I3" i="29"/>
  <c r="I2" i="29"/>
  <c r="E8" i="28"/>
  <c r="E7" i="28"/>
  <c r="E6" i="28"/>
  <c r="E5" i="28"/>
  <c r="E4" i="28"/>
  <c r="E3" i="28"/>
  <c r="E2" i="28"/>
  <c r="H137" i="23"/>
  <c r="H136" i="23"/>
  <c r="H135" i="23"/>
  <c r="H134" i="23"/>
  <c r="H133" i="23"/>
  <c r="H132" i="23"/>
  <c r="H131" i="23"/>
  <c r="H130" i="23"/>
  <c r="H129" i="23"/>
  <c r="H128" i="23"/>
  <c r="H127" i="23"/>
  <c r="H126" i="23"/>
  <c r="H125" i="23"/>
  <c r="H124" i="23"/>
  <c r="H123" i="23"/>
  <c r="H122" i="23"/>
  <c r="H121" i="23"/>
  <c r="H120" i="23"/>
  <c r="H119" i="23"/>
  <c r="H118" i="23"/>
  <c r="H117" i="23"/>
  <c r="H116" i="23"/>
  <c r="H115" i="23"/>
  <c r="H114" i="23"/>
  <c r="H113" i="23"/>
  <c r="H112" i="23"/>
  <c r="H111" i="23"/>
  <c r="H110" i="23"/>
  <c r="H109" i="23"/>
  <c r="H108" i="23"/>
  <c r="H107" i="23"/>
  <c r="H106" i="23"/>
  <c r="H105" i="23"/>
  <c r="H104" i="23"/>
  <c r="H103" i="23"/>
  <c r="H102" i="23"/>
  <c r="H101" i="23"/>
  <c r="H100" i="23"/>
  <c r="H99" i="23"/>
  <c r="H98" i="23"/>
  <c r="H97" i="23"/>
  <c r="H96" i="23"/>
  <c r="H95" i="23"/>
  <c r="H94" i="23"/>
  <c r="H93" i="23"/>
  <c r="H92" i="23"/>
  <c r="H91" i="23"/>
  <c r="H90" i="23"/>
  <c r="H89" i="23"/>
  <c r="H88" i="23"/>
  <c r="H87" i="23"/>
  <c r="H86" i="23"/>
  <c r="H85" i="23"/>
  <c r="H84" i="23"/>
  <c r="H83" i="23"/>
  <c r="H82" i="23"/>
  <c r="H81" i="23"/>
  <c r="H80" i="23"/>
  <c r="H79" i="23"/>
  <c r="H78" i="23"/>
  <c r="H77" i="23"/>
  <c r="H76" i="23"/>
  <c r="H75" i="23"/>
  <c r="H74" i="23"/>
  <c r="H73" i="23"/>
  <c r="H72" i="23"/>
  <c r="H71" i="23"/>
  <c r="H70" i="23"/>
  <c r="H69" i="23"/>
  <c r="H68" i="23"/>
  <c r="H67" i="23"/>
  <c r="H66" i="23"/>
  <c r="H65" i="23"/>
  <c r="H64" i="23"/>
  <c r="H63" i="23"/>
  <c r="H62" i="23"/>
  <c r="H61" i="23"/>
  <c r="H60" i="23"/>
  <c r="H59" i="23"/>
  <c r="H58" i="23"/>
  <c r="H57" i="23"/>
  <c r="H56" i="23"/>
  <c r="H55" i="23"/>
  <c r="H54" i="23"/>
  <c r="H53" i="23"/>
  <c r="H52" i="23"/>
  <c r="H51" i="23"/>
  <c r="H50" i="23"/>
  <c r="H49" i="23"/>
  <c r="H48" i="23"/>
  <c r="H47" i="23"/>
  <c r="H46" i="23"/>
  <c r="H45" i="23"/>
  <c r="H44" i="23"/>
  <c r="H43" i="23"/>
  <c r="H42" i="23"/>
  <c r="H41" i="23"/>
  <c r="H40" i="23"/>
  <c r="H39" i="23"/>
  <c r="H38" i="23"/>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H10" i="23"/>
  <c r="H9" i="23"/>
  <c r="H8" i="23"/>
  <c r="H7" i="23"/>
  <c r="H6" i="23"/>
  <c r="H5" i="23"/>
  <c r="H4" i="23"/>
  <c r="H3" i="23"/>
  <c r="H2" i="23"/>
  <c r="P2" i="23"/>
  <c r="G9" i="21"/>
  <c r="G8" i="21"/>
  <c r="G7" i="21"/>
  <c r="G6" i="21"/>
  <c r="G5" i="21"/>
  <c r="G4" i="21"/>
  <c r="G3" i="21"/>
  <c r="G2" i="21"/>
  <c r="G3" i="20"/>
  <c r="G2" i="20"/>
  <c r="H17" i="19"/>
  <c r="H16" i="19"/>
  <c r="H15" i="19"/>
  <c r="H14" i="19"/>
  <c r="H13" i="19"/>
  <c r="H12" i="19"/>
  <c r="H11" i="19"/>
  <c r="H10" i="19"/>
  <c r="H9" i="19"/>
  <c r="H8" i="19"/>
  <c r="H7" i="19"/>
  <c r="H6" i="19"/>
  <c r="H5" i="19"/>
  <c r="H4" i="19"/>
  <c r="H3" i="19"/>
  <c r="H2" i="19"/>
  <c r="E11" i="17"/>
  <c r="E10" i="17"/>
  <c r="E9" i="17"/>
  <c r="E8" i="17"/>
  <c r="E7" i="17"/>
  <c r="E6" i="17"/>
  <c r="E5" i="17"/>
  <c r="E4" i="17"/>
  <c r="E3" i="17"/>
  <c r="E2" i="17"/>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I8" i="13"/>
  <c r="I7" i="13"/>
  <c r="I6" i="13"/>
  <c r="I5" i="13"/>
  <c r="I4" i="13"/>
  <c r="I3" i="13"/>
  <c r="I2" i="13"/>
  <c r="J22" i="11"/>
  <c r="J21" i="11"/>
  <c r="J20" i="11"/>
  <c r="J19" i="11"/>
  <c r="J18" i="11"/>
  <c r="J17" i="11"/>
  <c r="J16" i="11"/>
  <c r="J15" i="11"/>
  <c r="J14" i="11"/>
  <c r="J13" i="11"/>
  <c r="J12" i="11"/>
  <c r="J11" i="11"/>
  <c r="J10" i="11"/>
  <c r="J9" i="11"/>
  <c r="J8" i="11"/>
  <c r="J7" i="11"/>
  <c r="J6" i="11"/>
  <c r="J5" i="11"/>
  <c r="J4" i="11"/>
  <c r="J3" i="11"/>
  <c r="J2" i="11"/>
  <c r="AJ22" i="11"/>
  <c r="AI22" i="11"/>
  <c r="AH22" i="11"/>
  <c r="AG22" i="11"/>
  <c r="AF22" i="11"/>
  <c r="AE22" i="11"/>
  <c r="AD22" i="11"/>
  <c r="AC22" i="11"/>
  <c r="AJ21" i="11"/>
  <c r="AI21" i="11"/>
  <c r="AH21" i="11"/>
  <c r="AG21" i="11"/>
  <c r="AF21" i="11"/>
  <c r="AE21" i="11"/>
  <c r="AD21" i="11"/>
  <c r="AC21" i="11"/>
  <c r="AJ20" i="11"/>
  <c r="AI20" i="11"/>
  <c r="AH20" i="11"/>
  <c r="AG20" i="11"/>
  <c r="AF20" i="11"/>
  <c r="AE20" i="11"/>
  <c r="AD20" i="11"/>
  <c r="AC20" i="11"/>
  <c r="AJ19" i="11"/>
  <c r="AI19" i="11"/>
  <c r="AH19" i="11"/>
  <c r="AG19" i="11"/>
  <c r="AF19" i="11"/>
  <c r="AE19" i="11"/>
  <c r="AD19" i="11"/>
  <c r="AC19" i="11"/>
  <c r="AJ18" i="11"/>
  <c r="AI18" i="11"/>
  <c r="AH18" i="11"/>
  <c r="AG18" i="11"/>
  <c r="AF18" i="11"/>
  <c r="AE18" i="11"/>
  <c r="AD18" i="11"/>
  <c r="AC18" i="11"/>
  <c r="AJ17" i="11"/>
  <c r="AI17" i="11"/>
  <c r="AH17" i="11"/>
  <c r="AG17" i="11"/>
  <c r="AF17" i="11"/>
  <c r="AE17" i="11"/>
  <c r="AD17" i="11"/>
  <c r="AC17" i="11"/>
  <c r="AJ16" i="11"/>
  <c r="AI16" i="11"/>
  <c r="AH16" i="11"/>
  <c r="AG16" i="11"/>
  <c r="AF16" i="11"/>
  <c r="AE16" i="11"/>
  <c r="AD16" i="11"/>
  <c r="AC16" i="11"/>
  <c r="AJ15" i="11"/>
  <c r="AI15" i="11"/>
  <c r="AH15" i="11"/>
  <c r="AG15" i="11"/>
  <c r="AF15" i="11"/>
  <c r="AE15" i="11"/>
  <c r="AD15" i="11"/>
  <c r="AC15" i="11"/>
  <c r="AJ14" i="11"/>
  <c r="AI14" i="11"/>
  <c r="AH14" i="11"/>
  <c r="AG14" i="11"/>
  <c r="AF14" i="11"/>
  <c r="AE14" i="11"/>
  <c r="AD14" i="11"/>
  <c r="AC14" i="11"/>
  <c r="AJ13" i="11"/>
  <c r="AI13" i="11"/>
  <c r="AH13" i="11"/>
  <c r="AG13" i="11"/>
  <c r="AF13" i="11"/>
  <c r="AE13" i="11"/>
  <c r="AD13" i="11"/>
  <c r="AC13" i="11"/>
  <c r="AJ12" i="11"/>
  <c r="AI12" i="11"/>
  <c r="AH12" i="11"/>
  <c r="AG12" i="11"/>
  <c r="AF12" i="11"/>
  <c r="AE12" i="11"/>
  <c r="AD12" i="11"/>
  <c r="AC12" i="11"/>
  <c r="AJ11" i="11"/>
  <c r="AI11" i="11"/>
  <c r="AH11" i="11"/>
  <c r="AG11" i="11"/>
  <c r="AF11" i="11"/>
  <c r="AE11" i="11"/>
  <c r="AD11" i="11"/>
  <c r="AC11" i="11"/>
  <c r="AJ10" i="11"/>
  <c r="AI10" i="11"/>
  <c r="AH10" i="11"/>
  <c r="AG10" i="11"/>
  <c r="AF10" i="11"/>
  <c r="AE10" i="11"/>
  <c r="AD10" i="11"/>
  <c r="AC10" i="11"/>
  <c r="AJ9" i="11"/>
  <c r="AI9" i="11"/>
  <c r="AH9" i="11"/>
  <c r="AG9" i="11"/>
  <c r="AF9" i="11"/>
  <c r="AE9" i="11"/>
  <c r="AD9" i="11"/>
  <c r="AC9" i="11"/>
  <c r="AJ8" i="11"/>
  <c r="AI8" i="11"/>
  <c r="AH8" i="11"/>
  <c r="AG8" i="11"/>
  <c r="AF8" i="11"/>
  <c r="AE8" i="11"/>
  <c r="AD8" i="11"/>
  <c r="AC8" i="11"/>
  <c r="AJ7" i="11"/>
  <c r="AI7" i="11"/>
  <c r="AH7" i="11"/>
  <c r="AG7" i="11"/>
  <c r="AF7" i="11"/>
  <c r="AE7" i="11"/>
  <c r="AD7" i="11"/>
  <c r="AC7" i="11"/>
  <c r="AJ6" i="11"/>
  <c r="AI6" i="11"/>
  <c r="AH6" i="11"/>
  <c r="AG6" i="11"/>
  <c r="AF6" i="11"/>
  <c r="AE6" i="11"/>
  <c r="AD6" i="11"/>
  <c r="AC6" i="11"/>
  <c r="AJ5" i="11"/>
  <c r="AI5" i="11"/>
  <c r="AH5" i="11"/>
  <c r="AG5" i="11"/>
  <c r="AF5" i="11"/>
  <c r="AE5" i="11"/>
  <c r="AD5" i="11"/>
  <c r="AC5" i="11"/>
  <c r="AJ4" i="11"/>
  <c r="AI4" i="11"/>
  <c r="AH4" i="11"/>
  <c r="AG4" i="11"/>
  <c r="AF4" i="11"/>
  <c r="AE4" i="11"/>
  <c r="AD4" i="11"/>
  <c r="AC4" i="11"/>
  <c r="AJ3" i="11"/>
  <c r="AI3" i="11"/>
  <c r="AH3" i="11"/>
  <c r="AG3" i="11"/>
  <c r="AF3" i="11"/>
  <c r="AE3" i="11"/>
  <c r="AD3" i="11"/>
  <c r="AC3" i="11"/>
  <c r="AM2" i="11"/>
  <c r="AK2" i="11"/>
  <c r="AJ2" i="11"/>
  <c r="AI2" i="11"/>
  <c r="AH2" i="11"/>
  <c r="AG2" i="11"/>
  <c r="AF2" i="11"/>
  <c r="AE2" i="11"/>
  <c r="AD2" i="11"/>
  <c r="AC2" i="11"/>
  <c r="I50" i="31"/>
  <c r="I51" i="31"/>
  <c r="I52" i="31"/>
  <c r="I53" i="31"/>
  <c r="I48" i="31"/>
  <c r="I49" i="31"/>
  <c r="I47" i="31"/>
  <c r="I39" i="31"/>
  <c r="I40" i="31"/>
  <c r="I41" i="31"/>
  <c r="I42" i="31"/>
  <c r="I43" i="31"/>
  <c r="I44" i="31"/>
  <c r="I45" i="31"/>
  <c r="I46" i="31"/>
  <c r="I36" i="31"/>
  <c r="I37" i="31"/>
  <c r="I38" i="31"/>
  <c r="I27" i="31"/>
  <c r="I28" i="31"/>
  <c r="I29" i="31"/>
  <c r="I30" i="31"/>
  <c r="I31" i="31"/>
  <c r="I32" i="31"/>
  <c r="I33" i="31"/>
  <c r="I34" i="31"/>
  <c r="I35" i="31"/>
  <c r="I26" i="31"/>
  <c r="I25" i="31"/>
  <c r="I24" i="31"/>
  <c r="I23" i="31"/>
  <c r="I22" i="31"/>
  <c r="I21" i="31"/>
  <c r="I20" i="31"/>
  <c r="I19" i="31"/>
  <c r="I18" i="31"/>
  <c r="I17" i="31"/>
  <c r="I16" i="31"/>
  <c r="I15" i="31"/>
  <c r="I14" i="31"/>
  <c r="I13" i="31"/>
  <c r="I12" i="31"/>
  <c r="I11" i="31"/>
  <c r="I10" i="31"/>
  <c r="I9" i="31"/>
  <c r="I8" i="31"/>
  <c r="I7" i="31"/>
  <c r="I6" i="31"/>
  <c r="I5" i="31"/>
  <c r="I4" i="31"/>
  <c r="I3" i="31"/>
  <c r="I2" i="31"/>
  <c r="A115" i="30"/>
  <c r="A120" i="30" s="1"/>
  <c r="A113" i="30"/>
  <c r="A114" i="30" s="1"/>
  <c r="A118" i="30" s="1"/>
  <c r="A119" i="30" s="1"/>
  <c r="A111" i="30"/>
  <c r="A112" i="30" s="1"/>
  <c r="A116" i="30" s="1"/>
  <c r="A117" i="30" s="1"/>
  <c r="A105" i="30"/>
  <c r="A104" i="30"/>
  <c r="A103" i="30"/>
  <c r="A102" i="30"/>
  <c r="A73" i="30"/>
  <c r="A74" i="30" s="1"/>
  <c r="A89" i="30" s="1"/>
  <c r="A90" i="30" s="1"/>
  <c r="A80" i="30"/>
  <c r="A96" i="30" s="1"/>
  <c r="A79" i="30"/>
  <c r="A95" i="30" s="1"/>
  <c r="A78" i="30"/>
  <c r="A94" i="30" s="1"/>
  <c r="A77" i="30"/>
  <c r="A93" i="30" s="1"/>
  <c r="A76" i="30"/>
  <c r="A92" i="30" s="1"/>
  <c r="A75" i="30"/>
  <c r="A91" i="30" s="1"/>
  <c r="A72" i="30"/>
  <c r="A88" i="30" s="1"/>
  <c r="A71" i="30"/>
  <c r="A87" i="30" s="1"/>
  <c r="A70" i="30"/>
  <c r="A86" i="30" s="1"/>
  <c r="A69" i="30"/>
  <c r="A85" i="30" s="1"/>
  <c r="A68" i="30"/>
  <c r="A84" i="30" s="1"/>
  <c r="A67" i="30"/>
  <c r="A83" i="30" s="1"/>
  <c r="A66" i="30"/>
  <c r="A82" i="30" s="1"/>
  <c r="F4" i="24"/>
  <c r="G17" i="19"/>
  <c r="G16" i="19"/>
  <c r="G15" i="19"/>
  <c r="G14" i="19"/>
  <c r="G13" i="19"/>
  <c r="G12" i="19"/>
  <c r="G11" i="19"/>
  <c r="G10" i="19"/>
  <c r="G9" i="19"/>
  <c r="G8" i="19"/>
  <c r="G7" i="19"/>
  <c r="G6" i="19"/>
  <c r="G5" i="19"/>
  <c r="G4" i="19"/>
  <c r="G3" i="19"/>
  <c r="G2" i="19"/>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G8" i="2"/>
  <c r="G7" i="2"/>
  <c r="G6" i="2"/>
  <c r="G5" i="2"/>
  <c r="G4" i="2"/>
  <c r="G1" i="2" l="1"/>
  <c r="E8" i="2"/>
  <c r="E7" i="2"/>
  <c r="E6" i="2"/>
  <c r="E5" i="2"/>
  <c r="E4" i="2"/>
  <c r="F8" i="2"/>
  <c r="F7" i="2"/>
  <c r="F6" i="2"/>
  <c r="F5" i="2"/>
  <c r="F4" i="2"/>
  <c r="F1"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tc={18DB71CF-6904-48BA-BB6F-884A4CC6FD6E}</author>
    <author>tc={5B6004E3-399F-461C-891A-3E837CDA312C}</author>
  </authors>
  <commentList>
    <comment ref="B6" authorId="0" shapeId="0" xr:uid="{18DB71CF-6904-48BA-BB6F-884A4CC6FD6E}">
      <text>
        <t>[Threaded comment]
Your version of Excel allows you to read this threaded comment; however, any edits to it will get removed if the file is opened in a newer version of Excel. Learn more: https://go.microsoft.com/fwlink/?linkid=870924
Comment:
    Response whether patient has read or not</t>
      </text>
    </comment>
    <comment ref="B7" authorId="1" shapeId="0" xr:uid="{5B6004E3-399F-461C-891A-3E837CDA312C}">
      <text>
        <t>[Threaded comment]
Your version of Excel allows you to read this threaded comment; however, any edits to it will get removed if the file is opened in a newer version of Excel. Learn more: https://go.microsoft.com/fwlink/?linkid=870924
Comment:
    Response whether patient has read or not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tc={C7EACDE1-F761-4F82-BECE-545144E34C40}</author>
    <author>tc={9F20F562-8219-42B7-999D-6AD18E20972C}</author>
    <author>tc={EE2E7304-A79F-429D-906F-CF797E4E427A}</author>
    <author>tc={B62B42D1-7F4C-4314-A014-A958B9701A7B}</author>
    <author>tc={1C1D867A-F667-49D1-8383-7F62503C70FB}</author>
  </authors>
  <commentList>
    <comment ref="E15" authorId="0" shapeId="0" xr:uid="{C7EACDE1-F761-4F82-BECE-545144E34C40}">
      <text>
        <t>[Threaded comment]
Your version of Excel allows you to read this threaded comment; however, any edits to it will get removed if the file is opened in a newer version of Excel. Learn more: https://go.microsoft.com/fwlink/?linkid=870924
Comment:
    Derived from BMI (score calculated from Weight recorded in App) and Gender and Age</t>
      </text>
    </comment>
    <comment ref="E18" authorId="1" shapeId="0" xr:uid="{9F20F562-8219-42B7-999D-6AD18E20972C}">
      <text>
        <t>[Threaded comment]
Your version of Excel allows you to read this threaded comment; however, any edits to it will get removed if the file is opened in a newer version of Excel. Learn more: https://go.microsoft.com/fwlink/?linkid=870924
Comment:
    Metabolic panel</t>
      </text>
    </comment>
    <comment ref="E20" authorId="2" shapeId="0" xr:uid="{EE2E7304-A79F-429D-906F-CF797E4E427A}">
      <text>
        <t>[Threaded comment]
Your version of Excel allows you to read this threaded comment; however, any edits to it will get removed if the file is opened in a newer version of Excel. Learn more: https://go.microsoft.com/fwlink/?linkid=870924
Comment:
    Derived from Gender and patient recording on App</t>
      </text>
    </comment>
    <comment ref="E25" authorId="3" shapeId="0" xr:uid="{B62B42D1-7F4C-4314-A014-A958B9701A7B}">
      <text>
        <t>[Threaded comment]
Your version of Excel allows you to read this threaded comment; however, any edits to it will get removed if the file is opened in a newer version of Excel. Learn more: https://go.microsoft.com/fwlink/?linkid=870924
Comment:
    Derived from Age</t>
      </text>
    </comment>
    <comment ref="E61" authorId="4" shapeId="0" xr:uid="{1C1D867A-F667-49D1-8383-7F62503C70FB}">
      <text>
        <t>[Threaded comment]
Your version of Excel allows you to read this threaded comment; however, any edits to it will get removed if the file is opened in a newer version of Excel. Learn more: https://go.microsoft.com/fwlink/?linkid=870924
Comment:
    Derived from PHQ9 Score</t>
      </text>
    </comment>
  </commentList>
</comments>
</file>

<file path=xl/sharedStrings.xml><?xml version="1.0" encoding="utf-8"?>
<sst xmlns="http://schemas.openxmlformats.org/spreadsheetml/2006/main" count="3801" uniqueCount="1416">
  <si>
    <t>How many hours do you sleep at night</t>
  </si>
  <si>
    <t>How often do you fall sick?</t>
  </si>
  <si>
    <t>Never</t>
  </si>
  <si>
    <t>Bowel Habits</t>
  </si>
  <si>
    <t>Severe Constipation</t>
  </si>
  <si>
    <t>Exercise Regime</t>
  </si>
  <si>
    <t>Daily</t>
  </si>
  <si>
    <t>Daily Water Intake</t>
  </si>
  <si>
    <t>Do you have bad breath</t>
  </si>
  <si>
    <t>Sometimes</t>
  </si>
  <si>
    <t>Often</t>
  </si>
  <si>
    <t>Do you have allergies</t>
  </si>
  <si>
    <t>None</t>
  </si>
  <si>
    <t>Do you binge on food</t>
  </si>
  <si>
    <t>Always</t>
  </si>
  <si>
    <t>Do you usually feel sad, depressed or anxious</t>
  </si>
  <si>
    <t>Hair Health</t>
  </si>
  <si>
    <t>Soft and Manageable</t>
  </si>
  <si>
    <t>Dry Seasonally</t>
  </si>
  <si>
    <t>Dry Year Around</t>
  </si>
  <si>
    <t>Always Dry</t>
  </si>
  <si>
    <t>Skin &amp; Wrinkles</t>
  </si>
  <si>
    <t>My Skin is fine</t>
  </si>
  <si>
    <t>Regular</t>
  </si>
  <si>
    <t>Occasionally Late</t>
  </si>
  <si>
    <t>Always Delayed</t>
  </si>
  <si>
    <t>Irregular</t>
  </si>
  <si>
    <t>Weightage</t>
  </si>
  <si>
    <t>A</t>
  </si>
  <si>
    <t>B</t>
  </si>
  <si>
    <t>C</t>
  </si>
  <si>
    <t>D</t>
  </si>
  <si>
    <t>E</t>
  </si>
  <si>
    <t>Total Option(s)</t>
  </si>
  <si>
    <t>Answered</t>
  </si>
  <si>
    <t>50%-100%</t>
  </si>
  <si>
    <t>50-60</t>
  </si>
  <si>
    <t>60-70</t>
  </si>
  <si>
    <t>70-80</t>
  </si>
  <si>
    <t>80-90</t>
  </si>
  <si>
    <t>90-100</t>
  </si>
  <si>
    <t>Normal</t>
  </si>
  <si>
    <t>Poor</t>
  </si>
  <si>
    <t>Moderate</t>
  </si>
  <si>
    <t>Medical Condition</t>
  </si>
  <si>
    <t>Weighted Score</t>
  </si>
  <si>
    <t>%Overall Wellness Score</t>
  </si>
  <si>
    <t>Good</t>
  </si>
  <si>
    <t>Excellent</t>
  </si>
  <si>
    <t>Very Poor</t>
  </si>
  <si>
    <t>Answer</t>
  </si>
  <si>
    <t>What is your BMI</t>
  </si>
  <si>
    <t>What is your waist to hip ratio - Women</t>
  </si>
  <si>
    <t>What is your waist to hip ratio - Men</t>
  </si>
  <si>
    <t>Menstrual Health</t>
  </si>
  <si>
    <t>Fasting</t>
  </si>
  <si>
    <t>Phq9</t>
  </si>
  <si>
    <t>BP</t>
  </si>
  <si>
    <t>Glucose</t>
  </si>
  <si>
    <t>Evaluated Weight</t>
  </si>
  <si>
    <t>18.5 - 25.0</t>
  </si>
  <si>
    <t>25.0 - 30.0</t>
  </si>
  <si>
    <t>30.0 - 35.0</t>
  </si>
  <si>
    <t>&lt;= 18.5</t>
  </si>
  <si>
    <t>&lt;= 0.80</t>
  </si>
  <si>
    <t>0.80 - 0.85</t>
  </si>
  <si>
    <t>0.85 - 1.0</t>
  </si>
  <si>
    <t>&gt; 1.0</t>
  </si>
  <si>
    <t>&gt; 35.0</t>
  </si>
  <si>
    <t>&lt;= 0.95</t>
  </si>
  <si>
    <t>&gt; 2.0</t>
  </si>
  <si>
    <t>0.95 - 1.25</t>
  </si>
  <si>
    <t>1.25 - 2.0</t>
  </si>
  <si>
    <t>&lt; 4 Hours</t>
  </si>
  <si>
    <t>4 - 6 Hours</t>
  </si>
  <si>
    <t>Once a Year</t>
  </si>
  <si>
    <t>Twice a Year</t>
  </si>
  <si>
    <t>&gt; 3 Times a Year</t>
  </si>
  <si>
    <t>Clear Daily</t>
  </si>
  <si>
    <t>Clear once a Week</t>
  </si>
  <si>
    <t>Clear alternate Day</t>
  </si>
  <si>
    <t>5 Times a Week</t>
  </si>
  <si>
    <t>3 Times a Week</t>
  </si>
  <si>
    <t>2 Times a Week</t>
  </si>
  <si>
    <t>8 Glasses Daily</t>
  </si>
  <si>
    <t>6 Glasses Daily</t>
  </si>
  <si>
    <t>4 Glasses Daily</t>
  </si>
  <si>
    <t>Do not Drink much</t>
  </si>
  <si>
    <t>Once a Month</t>
  </si>
  <si>
    <t>Several times a Month</t>
  </si>
  <si>
    <t>Age related wrinkles</t>
  </si>
  <si>
    <t>Look older than my age</t>
  </si>
  <si>
    <t>Wrinkles all over body</t>
  </si>
  <si>
    <t>7 - 10 Hours</t>
  </si>
  <si>
    <t>10 - 12 Hours</t>
  </si>
  <si>
    <t>12 - 15 Hours</t>
  </si>
  <si>
    <t>5 - 10</t>
  </si>
  <si>
    <t>Elevated</t>
  </si>
  <si>
    <t>Stage 1</t>
  </si>
  <si>
    <t>Stage 2</t>
  </si>
  <si>
    <t>Crisis**</t>
  </si>
  <si>
    <t>Lastest Reading</t>
  </si>
  <si>
    <t>Stage 1**</t>
  </si>
  <si>
    <t>Latest Reading</t>
  </si>
  <si>
    <t>Average last 30 days</t>
  </si>
  <si>
    <t>Answer Derived</t>
  </si>
  <si>
    <t>Question</t>
  </si>
  <si>
    <t>Average last 7 days</t>
  </si>
  <si>
    <t>Last answer</t>
  </si>
  <si>
    <t>Sedentary</t>
  </si>
  <si>
    <t>Default Blood Pressure Reference Range</t>
  </si>
  <si>
    <t>Dia</t>
  </si>
  <si>
    <t>Sys</t>
  </si>
  <si>
    <t>Hyper</t>
  </si>
  <si>
    <t>Hypo</t>
  </si>
  <si>
    <t>** Send Message to Coach on a Crisis Reading</t>
  </si>
  <si>
    <t>Default Blood Glucose Reference Range</t>
  </si>
  <si>
    <t>Non-Fasting</t>
  </si>
  <si>
    <t>Weight</t>
  </si>
  <si>
    <t>Range/Rank</t>
  </si>
  <si>
    <t>10 - 15</t>
  </si>
  <si>
    <t>&lt;= 5</t>
  </si>
  <si>
    <t>&gt; 15</t>
  </si>
  <si>
    <t>Average last 30 days of moods</t>
  </si>
  <si>
    <t>60 - 80</t>
  </si>
  <si>
    <t>90 - 120</t>
  </si>
  <si>
    <t>120 -130</t>
  </si>
  <si>
    <t>80 - 90</t>
  </si>
  <si>
    <t>130 - 140</t>
  </si>
  <si>
    <t>140 - 180</t>
  </si>
  <si>
    <t>&gt; 120</t>
  </si>
  <si>
    <t>&gt; 180</t>
  </si>
  <si>
    <t>0 - 60</t>
  </si>
  <si>
    <t>0 - 90</t>
  </si>
  <si>
    <t>80 - 110</t>
  </si>
  <si>
    <t>90 - 140</t>
  </si>
  <si>
    <t>110 - 140</t>
  </si>
  <si>
    <t>140 - 170</t>
  </si>
  <si>
    <t>140 - 190</t>
  </si>
  <si>
    <t>170 - 220</t>
  </si>
  <si>
    <t>55 - 80</t>
  </si>
  <si>
    <t>65 - 90</t>
  </si>
  <si>
    <t>190 - 240</t>
  </si>
  <si>
    <t>220 - 270</t>
  </si>
  <si>
    <t>&gt; 240</t>
  </si>
  <si>
    <t>&gt; 270</t>
  </si>
  <si>
    <t>&lt;= 55</t>
  </si>
  <si>
    <t>&lt;= 65</t>
  </si>
  <si>
    <t>ID</t>
  </si>
  <si>
    <t>UPDATED_BY</t>
  </si>
  <si>
    <t>GROUP_ID</t>
  </si>
  <si>
    <t>WEIGHT</t>
  </si>
  <si>
    <t>PARENT_QUESTION_ID</t>
  </si>
  <si>
    <t>SEQUENCE</t>
  </si>
  <si>
    <t>N (Max Rank)</t>
  </si>
  <si>
    <t>1-N (Response Rank)</t>
  </si>
  <si>
    <t>NAME</t>
  </si>
  <si>
    <t>FREQUENCY</t>
  </si>
  <si>
    <t>General</t>
  </si>
  <si>
    <t>Raminder Ahlawat</t>
  </si>
  <si>
    <t>QUESTION_TEXT</t>
  </si>
  <si>
    <t>EVALUATION_METHOD</t>
  </si>
  <si>
    <t>UPDATED_ON</t>
  </si>
  <si>
    <t>BMI</t>
  </si>
  <si>
    <t>Sleep</t>
  </si>
  <si>
    <t>Exercise</t>
  </si>
  <si>
    <t>Water Intake</t>
  </si>
  <si>
    <t>Bad breath</t>
  </si>
  <si>
    <t>Allergies</t>
  </si>
  <si>
    <t>Binge on food</t>
  </si>
  <si>
    <t>Depressed or anxious</t>
  </si>
  <si>
    <t>Gender</t>
  </si>
  <si>
    <t>Age</t>
  </si>
  <si>
    <t>VALUE</t>
  </si>
  <si>
    <t>RANK</t>
  </si>
  <si>
    <t>Female</t>
  </si>
  <si>
    <t>Male</t>
  </si>
  <si>
    <t>20 years under</t>
  </si>
  <si>
    <t>80 years and over</t>
  </si>
  <si>
    <t>Under Weight</t>
  </si>
  <si>
    <t>Normal Weight</t>
  </si>
  <si>
    <t>Over weight</t>
  </si>
  <si>
    <t>Obese</t>
  </si>
  <si>
    <t>QUESTION</t>
  </si>
  <si>
    <t>Sickness Frequency</t>
  </si>
  <si>
    <t>How do you describe your bowel movement?</t>
  </si>
  <si>
    <t>Do you have bad breath?</t>
  </si>
  <si>
    <t>Do you have any allergies?</t>
  </si>
  <si>
    <t>Do you usually feel sad, depressed or anxious?</t>
  </si>
  <si>
    <t>How will you describe the health of you hair?</t>
  </si>
  <si>
    <t>How would you describe skin health?</t>
  </si>
  <si>
    <t>Average</t>
  </si>
  <si>
    <t>At Risk</t>
  </si>
  <si>
    <t>Waist to Hip</t>
  </si>
  <si>
    <t>Crisis</t>
  </si>
  <si>
    <t>COUNT</t>
  </si>
  <si>
    <t>Customer</t>
  </si>
  <si>
    <t>Date</t>
  </si>
  <si>
    <t>CUSTOMER_ID</t>
  </si>
  <si>
    <t>IS_CURRENT</t>
  </si>
  <si>
    <t>RESPONSE</t>
  </si>
  <si>
    <t>Type</t>
  </si>
  <si>
    <t>FORMATTER</t>
  </si>
  <si>
    <t>Mild Depression</t>
  </si>
  <si>
    <t>Moderate Depression</t>
  </si>
  <si>
    <t xml:space="preserve">Moderately Severe </t>
  </si>
  <si>
    <t>Severe Depression</t>
  </si>
  <si>
    <t>20 - 29 years</t>
  </si>
  <si>
    <t>30 - 39 years</t>
  </si>
  <si>
    <t>40 - 49 years</t>
  </si>
  <si>
    <t>50 - 59 years</t>
  </si>
  <si>
    <t>60 - 69 years</t>
  </si>
  <si>
    <t>70 - 79 years</t>
  </si>
  <si>
    <t>GENDER</t>
  </si>
  <si>
    <t>AGE</t>
  </si>
  <si>
    <t>UNDER_WEIGHT</t>
  </si>
  <si>
    <t>NORMAL_WEIGHT</t>
  </si>
  <si>
    <t>OVER_WEIGHT</t>
  </si>
  <si>
    <t>7 - 9 Hours</t>
  </si>
  <si>
    <t>6 - 7 Hours</t>
  </si>
  <si>
    <t>PARENT_GROUP_ID</t>
  </si>
  <si>
    <t>QUESTION_ID</t>
  </si>
  <si>
    <t>PARENT_RESPONSE_ID</t>
  </si>
  <si>
    <t>RESPONSE_ID</t>
  </si>
  <si>
    <t>GROUP</t>
  </si>
  <si>
    <t>EXCELLENT</t>
  </si>
  <si>
    <t>GOOD</t>
  </si>
  <si>
    <t>AVERAGE</t>
  </si>
  <si>
    <t>HEALTHY_SLEEP</t>
  </si>
  <si>
    <t>AVERAGE_SLEEP</t>
  </si>
  <si>
    <t>UNDER_SLEEP</t>
  </si>
  <si>
    <t>Healthy Sleep</t>
  </si>
  <si>
    <t>Average Sleep</t>
  </si>
  <si>
    <t>Under Sleep</t>
  </si>
  <si>
    <t>Sleep Deprived</t>
  </si>
  <si>
    <t>More than 3 Times a Year</t>
  </si>
  <si>
    <t>PROPERTY</t>
  </si>
  <si>
    <t>MODERATE_LIFESTYLE</t>
  </si>
  <si>
    <t>SEDENTARY_LIFESTYLE</t>
  </si>
  <si>
    <t>Active Lifestyle</t>
  </si>
  <si>
    <t>Moderate Lifestyle</t>
  </si>
  <si>
    <t>Sedentary Lifestyle</t>
  </si>
  <si>
    <t>Excellent Hydration</t>
  </si>
  <si>
    <t>Moderate Hyderation</t>
  </si>
  <si>
    <t>MODERATE_HYDRATION</t>
  </si>
  <si>
    <t>EXCELLENT_HYDRATION</t>
  </si>
  <si>
    <t>Optimum Fasting</t>
  </si>
  <si>
    <t>Exceptional Fasting</t>
  </si>
  <si>
    <t>Inadequate Fasting</t>
  </si>
  <si>
    <t>Inadequate Hydration</t>
  </si>
  <si>
    <t>EXCEPTIONAL_FASTING</t>
  </si>
  <si>
    <t>OPTIMUM_FASTING</t>
  </si>
  <si>
    <t>STATUS</t>
  </si>
  <si>
    <t>PHQ9_NORMAL</t>
  </si>
  <si>
    <t>PHQ9_MILD_DEPRESSION</t>
  </si>
  <si>
    <t>PHQ9_MODERATE_DEPRESSION</t>
  </si>
  <si>
    <t>HYPO_CRISIS_DIASTOLIC</t>
  </si>
  <si>
    <t>NORMAL_DIASTOLIC</t>
  </si>
  <si>
    <t>ELEVATED_DIASTOLIC</t>
  </si>
  <si>
    <t>HYPO_CRISIS_SYSTOLIC</t>
  </si>
  <si>
    <t>NORMAL_SYSTOLIC</t>
  </si>
  <si>
    <t>ELEVATED_SYSTOLIC</t>
  </si>
  <si>
    <t>STAGE_1_DIASTOLIC</t>
  </si>
  <si>
    <t>STAGE_1_SYSTOLIC</t>
  </si>
  <si>
    <t>STAGE_2_DIASTOLIC</t>
  </si>
  <si>
    <t>STAGE_2_SYSTOLIC</t>
  </si>
  <si>
    <t>Hypo Crisis</t>
  </si>
  <si>
    <t>Hypo Stage 1</t>
  </si>
  <si>
    <t>HYPO_CRISIS_FASTING</t>
  </si>
  <si>
    <t>HYPO_CRISIS_NONFASTING</t>
  </si>
  <si>
    <t>HYPO_STAGE_1_FASTING</t>
  </si>
  <si>
    <t>HYPO_STAGE_1_NONFASTING</t>
  </si>
  <si>
    <t>NORMAL_FASTING</t>
  </si>
  <si>
    <t>NORMAL_NONFASTING</t>
  </si>
  <si>
    <t>ELEVATED_FASTING</t>
  </si>
  <si>
    <t>ELEVATED_NONFASTING</t>
  </si>
  <si>
    <t>STAGE_1_FASTING</t>
  </si>
  <si>
    <t>STAGE_1_NONFASTING</t>
  </si>
  <si>
    <t>STAGE_2_FASTING</t>
  </si>
  <si>
    <t>STAGE_2_NONFASTING</t>
  </si>
  <si>
    <t>Initial Setup</t>
  </si>
  <si>
    <t>App Response</t>
  </si>
  <si>
    <t>Questionnaire</t>
  </si>
  <si>
    <t>CREATED_ON</t>
  </si>
  <si>
    <t>HINDI</t>
  </si>
  <si>
    <t>TELUGU</t>
  </si>
  <si>
    <t>TAMIL</t>
  </si>
  <si>
    <t>BENGALI</t>
  </si>
  <si>
    <t>MARATHI</t>
  </si>
  <si>
    <t>सामान्य</t>
  </si>
  <si>
    <t>लिंग</t>
  </si>
  <si>
    <t>उम्र</t>
  </si>
  <si>
    <t>बीएमआई</t>
  </si>
  <si>
    <t>कमर से कूल्हे तक</t>
  </si>
  <si>
    <t>नींद</t>
  </si>
  <si>
    <t>आप कितनी बार बीमार पड़ते हैं?</t>
  </si>
  <si>
    <t>आप अपने मल त्याग का वर्णन कैसे करते हैं?</t>
  </si>
  <si>
    <t>व्यायाम शासन</t>
  </si>
  <si>
    <t>पानी का सेवन</t>
  </si>
  <si>
    <t>क्या आपके पास बुरा सांस है?</t>
  </si>
  <si>
    <t>क्या आपको कोई एलर्जी है?</t>
  </si>
  <si>
    <t>क्या आप भोजन पर द्वि घातुमान करते हैं</t>
  </si>
  <si>
    <t>क्या आप आमतौर पर उदास, उदास या चिंतित महसूस करते हैं?</t>
  </si>
  <si>
    <t>आप अपने बालों के स्वास्थ्य का वर्णन कैसे करेंगे?</t>
  </si>
  <si>
    <t>आप त्वचा के स्वास्थ्य का वर्णन कैसे करेंगे?</t>
  </si>
  <si>
    <t>मासिक धर्म स्वास्थ्य</t>
  </si>
  <si>
    <t>उपवास</t>
  </si>
  <si>
    <t>पीएचक्यू9</t>
  </si>
  <si>
    <t>बीपी</t>
  </si>
  <si>
    <t>ग्‍लूकोज़</t>
  </si>
  <si>
    <t>मादा</t>
  </si>
  <si>
    <t>पुरुष</t>
  </si>
  <si>
    <t>20 वर्ष से कम</t>
  </si>
  <si>
    <t>20 - 29 वर्ष</t>
  </si>
  <si>
    <t>30 - 39 वर्ष</t>
  </si>
  <si>
    <t>40 - 49 वर्ष</t>
  </si>
  <si>
    <t>50 - 59 वर्ष</t>
  </si>
  <si>
    <t>60 - 69 वर्ष</t>
  </si>
  <si>
    <t>70 - 79 वर्ष</t>
  </si>
  <si>
    <t>80 वर्ष और उससे अधिक</t>
  </si>
  <si>
    <t>वजन के तहत</t>
  </si>
  <si>
    <t>सामान्य वजन</t>
  </si>
  <si>
    <t>अधिक वजन</t>
  </si>
  <si>
    <t>स्थूलकाय</t>
  </si>
  <si>
    <t>अति उत्कृष्ट</t>
  </si>
  <si>
    <t>अच्छा</t>
  </si>
  <si>
    <t>औसत निकालना</t>
  </si>
  <si>
    <t>जोखिम में</t>
  </si>
  <si>
    <t>स्वस्थ नींद</t>
  </si>
  <si>
    <t>औसत नींद</t>
  </si>
  <si>
    <t>नींद के तहत</t>
  </si>
  <si>
    <t>नींद से वंचित</t>
  </si>
  <si>
    <t>कभी नहीं</t>
  </si>
  <si>
    <t>साल में एक बार</t>
  </si>
  <si>
    <t>साल में दो बार</t>
  </si>
  <si>
    <t>साल में 3 बार से अधिक</t>
  </si>
  <si>
    <t>दैनिक साफ़ करें</t>
  </si>
  <si>
    <t>वैकल्पिक दिन साफ़ करें</t>
  </si>
  <si>
    <t>सप्ताह में एक बार साफ़ करें</t>
  </si>
  <si>
    <t>गंभीर कब्ज</t>
  </si>
  <si>
    <t>सक्रिय जीवन शैली</t>
  </si>
  <si>
    <t>मध्यम जीवन शैली</t>
  </si>
  <si>
    <t>गतिहीन जीवन शैली</t>
  </si>
  <si>
    <t>उत्कृष्ट जलयोजन</t>
  </si>
  <si>
    <t>मध्यम हाइडरेशन</t>
  </si>
  <si>
    <t>अपर्याप्त जलयोजन</t>
  </si>
  <si>
    <t>कभी कभी</t>
  </si>
  <si>
    <t>अक्सर</t>
  </si>
  <si>
    <t>दैनिक</t>
  </si>
  <si>
    <t>कोई नहीं</t>
  </si>
  <si>
    <t>महीने में एक बार</t>
  </si>
  <si>
    <t>महीने में कई बार</t>
  </si>
  <si>
    <t>सदा</t>
  </si>
  <si>
    <t>नरम और प्रबंधनीय</t>
  </si>
  <si>
    <t>शुष्क मौसमी</t>
  </si>
  <si>
    <t>शुष्क वर्ष के आसपास</t>
  </si>
  <si>
    <t>हमेशा सूखा</t>
  </si>
  <si>
    <t>मेरी त्वचा ठीक है</t>
  </si>
  <si>
    <t>उम्र से संबंधित झुर्रियाँ</t>
  </si>
  <si>
    <t>मेरी उम्र से बड़ा लग रहा है</t>
  </si>
  <si>
    <t>पूरे शरीर पर झुर्रियां</t>
  </si>
  <si>
    <t>नियमित सैनिक</t>
  </si>
  <si>
    <t>कभी-कभी देर से</t>
  </si>
  <si>
    <t>हमेशा देरी</t>
  </si>
  <si>
    <t>और का</t>
  </si>
  <si>
    <t>असाधारण उपवास</t>
  </si>
  <si>
    <t>इष्टतम उपवास</t>
  </si>
  <si>
    <t>अपर्याप्त उपवास</t>
  </si>
  <si>
    <t>हल्का अवसाद</t>
  </si>
  <si>
    <t>मध्यम अवसाद</t>
  </si>
  <si>
    <t>गंभीर अवसाद</t>
  </si>
  <si>
    <t>उन्नत</t>
  </si>
  <si>
    <t>स्टेज 1</t>
  </si>
  <si>
    <t>स्टेज 2</t>
  </si>
  <si>
    <t>संकट</t>
  </si>
  <si>
    <t>हाइपो संकट</t>
  </si>
  <si>
    <t>हाइपो स्टेज 1</t>
  </si>
  <si>
    <t>సాధారణం</t>
  </si>
  <si>
    <t>లింగము</t>
  </si>
  <si>
    <t>వయసు</t>
  </si>
  <si>
    <t>నడుము నుండి తుంటి వరకు</t>
  </si>
  <si>
    <t>నిద్ర</t>
  </si>
  <si>
    <t>మీరు ఎంత తరచుగా అనారోగ్యానికి గురవుతారు?</t>
  </si>
  <si>
    <t>మీ ప్రేగు కదలికను మీరు ఎలా వివరిస్తారు?</t>
  </si>
  <si>
    <t>వ్యాయామ విధానం</t>
  </si>
  <si>
    <t>నీరు తీసుకోవడం</t>
  </si>
  <si>
    <t>మీకు నోటి దుర్వాసన వస్తోందా?</t>
  </si>
  <si>
    <t>మీకు ఏవైనా అలెర్జీలు ఉన్నాయా?</t>
  </si>
  <si>
    <t>మీరు అతిగా ఆహారం తీసుకుంటున్నారా?</t>
  </si>
  <si>
    <t>మీరు సాధారణంగా విచారంగా, నిరాశగా లేదా ఆత్రుతగా ఉన్నారా?</t>
  </si>
  <si>
    <t>మీ జుట్టు యొక్క ఆరోగ్యాన్ని మీరు ఎలా వివరిస్తారు?</t>
  </si>
  <si>
    <t>చర్మ ఆరోగ్యాన్ని మీరు ఎలా వివరిస్తారు?</t>
  </si>
  <si>
    <t>రుతుక్రమ ఆరోగ్యం</t>
  </si>
  <si>
    <t>ఉపవాసం</t>
  </si>
  <si>
    <t>బి.పి.</t>
  </si>
  <si>
    <t>గ్లూకోజ్</t>
  </si>
  <si>
    <t>ఆడ</t>
  </si>
  <si>
    <t>మగ</t>
  </si>
  <si>
    <t>20 సంవత్సరాల కంటే తక్కువ</t>
  </si>
  <si>
    <t>20 - 29 సంవత్సరాలు</t>
  </si>
  <si>
    <t>30 - 39 సంవత్సరాలు</t>
  </si>
  <si>
    <t>40 - 49 సంవత్సరాలు</t>
  </si>
  <si>
    <t>50 - 59 సంవత్సరాలు</t>
  </si>
  <si>
    <t>60 - 69 సంవత్సరాలు</t>
  </si>
  <si>
    <t>70 - 79 సంవత్సరాలు</t>
  </si>
  <si>
    <t>80 సంవత్సరాలు మరియు అంతకంటే ఎక్కువ</t>
  </si>
  <si>
    <t>బరువు కంటే తక్కువ</t>
  </si>
  <si>
    <t>సాధారణ బరువు</t>
  </si>
  <si>
    <t>అధిక బరువు</t>
  </si>
  <si>
    <t>లావైన</t>
  </si>
  <si>
    <t>ఉత్తమ</t>
  </si>
  <si>
    <t>యోగ్యమైన</t>
  </si>
  <si>
    <t>సగటు</t>
  </si>
  <si>
    <t>రిస్క్ లో</t>
  </si>
  <si>
    <t>ఆరోగ్యకరమైన నిద్ర</t>
  </si>
  <si>
    <t>సగటు నిద్ర</t>
  </si>
  <si>
    <t>నిద్రలో</t>
  </si>
  <si>
    <t>నిద్రలేమి</t>
  </si>
  <si>
    <t>ఎన్నడూ లేదు</t>
  </si>
  <si>
    <t>సంవత్సరానికి ఒకసారి</t>
  </si>
  <si>
    <t>సంవత్సరానికి రెండుసార్లు</t>
  </si>
  <si>
    <t>సంవత్సరానికి 3 కంటే ఎక్కువ సార్లు</t>
  </si>
  <si>
    <t>క్లియర్ డైలీ</t>
  </si>
  <si>
    <t>స్పష్టమైన ప్రత్యామ్నాయ రోజు</t>
  </si>
  <si>
    <t>వారానికి ఒకసారి క్లియర్ చేయండి</t>
  </si>
  <si>
    <t>తీవ్రమైన మలబద్ధకం</t>
  </si>
  <si>
    <t>చురుకైన జీవనశైలి</t>
  </si>
  <si>
    <t>మితమైన జీవనశైలి</t>
  </si>
  <si>
    <t>నిశ్చల జీవనశైలి</t>
  </si>
  <si>
    <t>అద్భుతమైన ఆర్ద్రీకరణ</t>
  </si>
  <si>
    <t>మోడరేట్ హైదరేషన్</t>
  </si>
  <si>
    <t>తగినంత హైడ్రేషన్ లేకపోవడం</t>
  </si>
  <si>
    <t>అప్పుడప్పుడు</t>
  </si>
  <si>
    <t>తరచుగా</t>
  </si>
  <si>
    <t>రోజువారీ</t>
  </si>
  <si>
    <t>ఎవరు కాదు</t>
  </si>
  <si>
    <t>నెలకు ఒకసారి</t>
  </si>
  <si>
    <t>నెలకు అనేక సార్లు</t>
  </si>
  <si>
    <t>ఎప్పుడు</t>
  </si>
  <si>
    <t>మృదువైనది మరియు నిర్వహించదగినది</t>
  </si>
  <si>
    <t>కాలానుగుణంగా పొడి</t>
  </si>
  <si>
    <t>పొడి సంవత్సరం చుట్టూ</t>
  </si>
  <si>
    <t>ఎల్లప్పుడూ పొడి</t>
  </si>
  <si>
    <t>నా చర్మం బాగుంది</t>
  </si>
  <si>
    <t>వయస్సు సంబంధిత ముడతలు</t>
  </si>
  <si>
    <t>నా వయసు కంటే పెద్దదిగా కనిపించండి</t>
  </si>
  <si>
    <t>శరీరమంతా ముడతలు</t>
  </si>
  <si>
    <t>అనుస్యూత</t>
  </si>
  <si>
    <t>అప్పుడప్పుడు ఆలస్యం</t>
  </si>
  <si>
    <t>ఎల్లప్పుడూ ఆలస్యం</t>
  </si>
  <si>
    <t>అనియత</t>
  </si>
  <si>
    <t>అసాధారణమైన ఉపవాసం</t>
  </si>
  <si>
    <t>అనుకూలమైన ఉపవాసం</t>
  </si>
  <si>
    <t>తగినంత ఉపవాసం లేకపోవడం</t>
  </si>
  <si>
    <t>తేలికపాటి నిరాశ</t>
  </si>
  <si>
    <t>మితమైన డిప్రెషన్</t>
  </si>
  <si>
    <t>తీవ్రమైన డిప్రెషన్</t>
  </si>
  <si>
    <t>ఎలివేటెడ్</t>
  </si>
  <si>
    <t>స్టేజ్ 1</t>
  </si>
  <si>
    <t>స్టేజ్ 2</t>
  </si>
  <si>
    <t>సంక్షోభం</t>
  </si>
  <si>
    <t>హైపో సంక్షోభం</t>
  </si>
  <si>
    <t>హైపో స్టేజ్ 1</t>
  </si>
  <si>
    <t>பொதுவான</t>
  </si>
  <si>
    <t>பாலினம்</t>
  </si>
  <si>
    <t>வயது</t>
  </si>
  <si>
    <t>பிஎம்ஐ</t>
  </si>
  <si>
    <t>இடுப்பு முதல் இடுப்பு வரை</t>
  </si>
  <si>
    <t>உறக்கம்</t>
  </si>
  <si>
    <t>நீங்கள் எவ்வளவு அடிக்கடி நோய்வாய்ப்படுகிறீர்கள்?</t>
  </si>
  <si>
    <t>உங்கள் குடல் இயக்கத்தை எவ்வாறு விவரிப்பது?</t>
  </si>
  <si>
    <t>உடற்பயிற்சி முறை</t>
  </si>
  <si>
    <t>நீர் உட்கொள்ளல்</t>
  </si>
  <si>
    <t>வாய் துர்நாற்றம் உள்ளதா?</t>
  </si>
  <si>
    <t>உங்களுக்கு ஏதேனும் ஒவ்வாமை உள்ளதா?</t>
  </si>
  <si>
    <t>நீங்கள் உணவை அதிகமாக சாப்பிடுகிறீர்களா</t>
  </si>
  <si>
    <t>நீங்கள் வழக்கமாக சோகமாக, மனச்சோர்வாக அல்லது கவலையாக உணர்கிறீர்களா?</t>
  </si>
  <si>
    <t>உங்கள் கூந்தலின் ஆரோக்கியத்தை எப்படி விவரிப்பீர்கள்?</t>
  </si>
  <si>
    <t>தோல் ஆரோக்கியத்தை எவ்வாறு விவரிப்பீர்கள்?</t>
  </si>
  <si>
    <t>மாதவிடாய் ஆரோக்கியம்</t>
  </si>
  <si>
    <t>உண்ணாவிரதம்</t>
  </si>
  <si>
    <t>பி.பி.</t>
  </si>
  <si>
    <t>குளுக்கோஸ்</t>
  </si>
  <si>
    <t>பெண்</t>
  </si>
  <si>
    <t>ஆண்</t>
  </si>
  <si>
    <t>20 ஆண்டுகளின் கீழ்</t>
  </si>
  <si>
    <t>20 - 29 ஆண்டுகள்</t>
  </si>
  <si>
    <t>30 - 39 ஆண்டுகள்</t>
  </si>
  <si>
    <t>40 - 49 ஆண்டுகள்</t>
  </si>
  <si>
    <t>50 - 59 ஆண்டுகள்</t>
  </si>
  <si>
    <t>60 - 69 ஆண்டுகள்</t>
  </si>
  <si>
    <t>70 - 79 ஆண்டுகள்</t>
  </si>
  <si>
    <t>80 ஆண்டுகள் மற்றும் அதற்கு மேல்</t>
  </si>
  <si>
    <t>எடையின் கீழ்</t>
  </si>
  <si>
    <t>சாதாரண எடை</t>
  </si>
  <si>
    <t>அதிக எடை</t>
  </si>
  <si>
    <t>கொழுத்த</t>
  </si>
  <si>
    <t>மிகச்சிறந்த</t>
  </si>
  <si>
    <t>நல்லது</t>
  </si>
  <si>
    <t>சராசரி</t>
  </si>
  <si>
    <t>ஆபத்தில்</t>
  </si>
  <si>
    <t>ஆரோக்கியமான தூக்கம்</t>
  </si>
  <si>
    <t>சராசரி தூக்கம்</t>
  </si>
  <si>
    <t>தூக்கத்தின் கீழ்</t>
  </si>
  <si>
    <t>தூக்கமின்மை</t>
  </si>
  <si>
    <t>ஒருபோதும்</t>
  </si>
  <si>
    <t>வருடத்திற்கு ஒரு முறை</t>
  </si>
  <si>
    <t>வருடத்திற்கு இரண்டு முறை</t>
  </si>
  <si>
    <t>வருடத்திற்கு 3 முறைக்கு மேல்</t>
  </si>
  <si>
    <t>தினசரி அழிக்கவும்</t>
  </si>
  <si>
    <t>ஒரு நாள் விட்டு ஒரு நாள் தெளிவான</t>
  </si>
  <si>
    <t>வாரம் ஒரு முறை அழிக்கவும்</t>
  </si>
  <si>
    <t>கடுமையான மலச்சிக்கல்</t>
  </si>
  <si>
    <t>சுறுசுறுப்பான வாழ்க்கை முறை</t>
  </si>
  <si>
    <t>மிதமான வாழ்க்கை முறை</t>
  </si>
  <si>
    <t>உட்கார்ந்த வாழ்க்கை முறை</t>
  </si>
  <si>
    <t>சிறந்த நீரேற்றம்</t>
  </si>
  <si>
    <t>மிதமான ஹைதரேஷன்</t>
  </si>
  <si>
    <t>போதுமான நீரேற்றம் இல்லாமை</t>
  </si>
  <si>
    <t>சில நேரங்களில்</t>
  </si>
  <si>
    <t>அடிக்கடி</t>
  </si>
  <si>
    <t>தினசரி</t>
  </si>
  <si>
    <t>ஏதுமில்லை</t>
  </si>
  <si>
    <t>மாதம் ஒரு முறை</t>
  </si>
  <si>
    <t>ஒரு மாதத்திற்கு பல முறை</t>
  </si>
  <si>
    <t>எப்பொழுதும்</t>
  </si>
  <si>
    <t>மென்மையான மற்றும் நிர்வகிக்கக்கூடியது</t>
  </si>
  <si>
    <t>வறண்ட பருவகாலமாக</t>
  </si>
  <si>
    <t>வறண்ட ஆண்டு சுற்றி</t>
  </si>
  <si>
    <t>எப்போதும் உலர்ந்த</t>
  </si>
  <si>
    <t>என் தோல் நன்றாக இருக்கிறது</t>
  </si>
  <si>
    <t>வயது தொடர்பான சுருக்கங்கள்</t>
  </si>
  <si>
    <t>என் வயதை விட வயதானவனாகத் தெரிகிறான்</t>
  </si>
  <si>
    <t>உடல் முழுவதும் சுருக்கங்கள்.</t>
  </si>
  <si>
    <t>வழக்கமான</t>
  </si>
  <si>
    <t>எப்போதாவது தாமதமாக</t>
  </si>
  <si>
    <t>எப்போதும் தாமதம்</t>
  </si>
  <si>
    <t>ஒழுங்கற்ற</t>
  </si>
  <si>
    <t>விதிவிலக்கான உண்ணாவிரதம்</t>
  </si>
  <si>
    <t>உகந்த உண்ணாவிரதம்</t>
  </si>
  <si>
    <t>போதிய உண்ணாவிரதம்</t>
  </si>
  <si>
    <t>லேசான மனச்சோர்வு (Mild Depression)</t>
  </si>
  <si>
    <t>மிதமான மனச்சோர்வு</t>
  </si>
  <si>
    <t>கடுமையான மனச்சோர்வு</t>
  </si>
  <si>
    <t>உயர்த்தப்பட்டது</t>
  </si>
  <si>
    <t>நிலை 1</t>
  </si>
  <si>
    <t>நிலை 2</t>
  </si>
  <si>
    <t>நெருக்கடி</t>
  </si>
  <si>
    <t>ஹைப்போ நெருக்கடி (Hypo Crisis )</t>
  </si>
  <si>
    <t>ஹைப்போ நிலை 1</t>
  </si>
  <si>
    <t>সাধারণ</t>
  </si>
  <si>
    <t>লিঙ্গ</t>
  </si>
  <si>
    <t>বয়স</t>
  </si>
  <si>
    <t>বিএমআই</t>
  </si>
  <si>
    <t>কোমর থেকে নিতম্ব</t>
  </si>
  <si>
    <t>শয়ন</t>
  </si>
  <si>
    <t>আপনি কতবার অসুস্থ হয়ে পড়েন?</t>
  </si>
  <si>
    <t>আপনি কীভাবে আপনার অন্ত্রের গতিবিধি বর্ণনা করবেন?</t>
  </si>
  <si>
    <t>ব্যায়াম শাসন</t>
  </si>
  <si>
    <t>জল খাওয়া</t>
  </si>
  <si>
    <t>আপনার কি নিঃশ্বাসে দুর্গন্ধ হয়?</t>
  </si>
  <si>
    <t>আপনার কি কোন এলার্জি আছে?</t>
  </si>
  <si>
    <t>আপনি কি খাবার খেয়ে থাকেন</t>
  </si>
  <si>
    <t>আপনি কি সাধারণত দু: খিত, হতাশাগ্রস্থ বা উদ্বিগ্ন বোধ করেন?</t>
  </si>
  <si>
    <t>আপনার চুলের স্বাস্থ্য কীভাবে বর্ণনা করবেন?</t>
  </si>
  <si>
    <t>আপনি ত্বকের স্বাস্থ্য কীভাবে বর্ণনা করবেন?</t>
  </si>
  <si>
    <t>মাসিক স্বাস্থ্য</t>
  </si>
  <si>
    <t>রোজা রাখা</t>
  </si>
  <si>
    <t>বি.পি.</t>
  </si>
  <si>
    <t>গ্লুকোজ</t>
  </si>
  <si>
    <t>নারী</t>
  </si>
  <si>
    <t>পুরুষ</t>
  </si>
  <si>
    <t>২০ বছরের নিচে</t>
  </si>
  <si>
    <t>20 - 29 বছর</t>
  </si>
  <si>
    <t>30 - 39 বছর</t>
  </si>
  <si>
    <t>40 - 49 বছর</t>
  </si>
  <si>
    <t>50 - 59 বছর</t>
  </si>
  <si>
    <t>60 - 69 বছর</t>
  </si>
  <si>
    <t>70 - 79 বছর</t>
  </si>
  <si>
    <t>80 বছর এবং তার বেশি</t>
  </si>
  <si>
    <t>ওজন কম</t>
  </si>
  <si>
    <t>স্বাভাবিক ওজন</t>
  </si>
  <si>
    <t>অতিরিক্ত ওজন</t>
  </si>
  <si>
    <t>স্থূলকায়</t>
  </si>
  <si>
    <t>চমৎকার</t>
  </si>
  <si>
    <t>ভালো</t>
  </si>
  <si>
    <t>গড়</t>
  </si>
  <si>
    <t>ঝুঁকিতে</t>
  </si>
  <si>
    <t>স্বাস্থ্যকর ঘুম</t>
  </si>
  <si>
    <t>গড় ঘুম</t>
  </si>
  <si>
    <t>আন্ডার স্লিপ</t>
  </si>
  <si>
    <t>ঘুম থেকে বঞ্চিত</t>
  </si>
  <si>
    <t>কখনও</t>
  </si>
  <si>
    <t>বছরে একবার</t>
  </si>
  <si>
    <t>বছরে 3 বারের বেশি</t>
  </si>
  <si>
    <t>প্রতিদিন পরিষ্কার করুন</t>
  </si>
  <si>
    <t>বিকল্প দিন পরিষ্কার করুন</t>
  </si>
  <si>
    <t>সপ্তাহে একবার পরিষ্কার করুন</t>
  </si>
  <si>
    <t>গুরুতর কোষ্ঠকাঠিন্য</t>
  </si>
  <si>
    <t>সক্রিয় জীবনধারা</t>
  </si>
  <si>
    <t>পরিমিত জীবনধারা</t>
  </si>
  <si>
    <t>সেডেন্টারি লাইফস্টাইল</t>
  </si>
  <si>
    <t>চমৎকার হাইড্রেশন</t>
  </si>
  <si>
    <t>মাঝারি হাইডারেশন</t>
  </si>
  <si>
    <t>অপর্যাপ্ত হাইড্রেশন</t>
  </si>
  <si>
    <t>মাঝে মাঝে</t>
  </si>
  <si>
    <t>প্রায়ই</t>
  </si>
  <si>
    <t>দৈনিক</t>
  </si>
  <si>
    <t>কোনোটিই নয়</t>
  </si>
  <si>
    <t>মাসে একবার</t>
  </si>
  <si>
    <t>মাসে কয়েকবার</t>
  </si>
  <si>
    <t>সর্বদা</t>
  </si>
  <si>
    <t>নরম এবং পরিচালনাযোগ্য</t>
  </si>
  <si>
    <t>শুষ্ক মৌসুমী</t>
  </si>
  <si>
    <t>শুষ্ক বছর ঘুরে বেড়াচ্ছে</t>
  </si>
  <si>
    <t>সর্বদা শুকনো</t>
  </si>
  <si>
    <t>আমার ত্বক ঠিক আছে</t>
  </si>
  <si>
    <t>বয়স সম্পর্কিত বলিরেখা</t>
  </si>
  <si>
    <t>আমার বয়সের চেয়ে বয়স্ক দেখাও</t>
  </si>
  <si>
    <t>সারা শরীরে বলিরেখা</t>
  </si>
  <si>
    <t>নিয়মিত</t>
  </si>
  <si>
    <t>মাঝে মাঝে দেরি হয়ে যায়</t>
  </si>
  <si>
    <t>সর্বদা বিলম্বিত</t>
  </si>
  <si>
    <t>অনিয়মিত</t>
  </si>
  <si>
    <t>ব্যতিক্রমী রোজা</t>
  </si>
  <si>
    <t>সর্বোত্তম উপবাস</t>
  </si>
  <si>
    <t>অপর্যাপ্ত রোজা</t>
  </si>
  <si>
    <t>স্বাভাবিক</t>
  </si>
  <si>
    <t>হালকা বিষণ্নতা</t>
  </si>
  <si>
    <t>মাঝারি বিষণ্নতা</t>
  </si>
  <si>
    <t>তীব্র বিষণ্নতা</t>
  </si>
  <si>
    <t>উঁচু</t>
  </si>
  <si>
    <t>পর্যায় ১</t>
  </si>
  <si>
    <t>পর্যায় ২</t>
  </si>
  <si>
    <t>সংকট</t>
  </si>
  <si>
    <t>হাইপো সংকট</t>
  </si>
  <si>
    <t>হাইপো স্টেজ 1</t>
  </si>
  <si>
    <t>सर्वसाधारण</t>
  </si>
  <si>
    <t>युग</t>
  </si>
  <si>
    <t>बीएमआय</t>
  </si>
  <si>
    <t>कंबर ते नितंब</t>
  </si>
  <si>
    <t>झोप</t>
  </si>
  <si>
    <t>आपण किती वेळा आजारी पडता?</t>
  </si>
  <si>
    <t>आपण आपल्या आतड्यांसंबंधी हालचालीचे वर्णन कसे कराल?</t>
  </si>
  <si>
    <t>व्यायाम व्यवस्था</t>
  </si>
  <si>
    <t>पाण्याचे सेवन</t>
  </si>
  <si>
    <t>तुम्हाला श्वासाची दुर्गंधी आहे का?</t>
  </si>
  <si>
    <t>तुम्हाला काही अॅलर्जी आहे का?</t>
  </si>
  <si>
    <t>तुम्ही खाण्यापिण्याची सवय करता का?</t>
  </si>
  <si>
    <t>आपण सहसा उदास, उदास किंवा चिंताग्रस्त आहात का?</t>
  </si>
  <si>
    <t>आपल्या केसांच्या आरोग्याचे वर्णन कसे कराल?</t>
  </si>
  <si>
    <t>आपण त्वचेच्या आरोग्याचे वर्णन कसे कराल?</t>
  </si>
  <si>
    <t>मासिक पाळीचे आरोग्य</t>
  </si>
  <si>
    <t>पीएचक्यू 9</t>
  </si>
  <si>
    <t>ग्लूकोज</t>
  </si>
  <si>
    <t>मादी</t>
  </si>
  <si>
    <t>20 वर्षाखालील</t>
  </si>
  <si>
    <t>२० - २९ वर्षे</t>
  </si>
  <si>
    <t>३० - ३९ वर्षे</t>
  </si>
  <si>
    <t>४० - ४९ वर्षे</t>
  </si>
  <si>
    <t>५० - ५९ वर्षे</t>
  </si>
  <si>
    <t>६० - ६९ वर्षे</t>
  </si>
  <si>
    <t>७० - ७९ वर्षे</t>
  </si>
  <si>
    <t>८० वर्षे आणि त्याहून अधिक</t>
  </si>
  <si>
    <t>कमी वजनाचे</t>
  </si>
  <si>
    <t>वजन जास्त</t>
  </si>
  <si>
    <t>लठ्ठपणा</t>
  </si>
  <si>
    <t>उत्कृष्ट</t>
  </si>
  <si>
    <t>चांगला</t>
  </si>
  <si>
    <t>सरासरी</t>
  </si>
  <si>
    <t>धोका</t>
  </si>
  <si>
    <t>निरोगी झोप</t>
  </si>
  <si>
    <t>सरासरी झोप</t>
  </si>
  <si>
    <t>झोपेत</t>
  </si>
  <si>
    <t>झोपेपासून वंचित</t>
  </si>
  <si>
    <t>कधीच नाही</t>
  </si>
  <si>
    <t>वर्षातून एकदा</t>
  </si>
  <si>
    <t>वर्षातून दोनदा</t>
  </si>
  <si>
    <t>वर्षातून 3 पेक्षा जास्त वेळा</t>
  </si>
  <si>
    <t>दररोज स्पष्ट करा</t>
  </si>
  <si>
    <t>स्पष्ट पर्यायी दिवस</t>
  </si>
  <si>
    <t>आठवड्यातून एकदा साफ करा</t>
  </si>
  <si>
    <t>तीव्र बद्धकोष्ठता</t>
  </si>
  <si>
    <t>सक्रिय जीवनशैली</t>
  </si>
  <si>
    <t>मध्यम जीवनशैली</t>
  </si>
  <si>
    <t>गतिहीन जीवनशैली</t>
  </si>
  <si>
    <t>उत्कृष्ट हायड्रेशन</t>
  </si>
  <si>
    <t>मध्यम हैडरेशन</t>
  </si>
  <si>
    <t>अपुरे हायड्रेशन</t>
  </si>
  <si>
    <t>कधीकधी</t>
  </si>
  <si>
    <t>वेळोवेळी</t>
  </si>
  <si>
    <t>काहीच नाही</t>
  </si>
  <si>
    <t>महिन्यातून एकदा</t>
  </si>
  <si>
    <t>महिन्यातून अनेकवेळा</t>
  </si>
  <si>
    <t>नेहमी</t>
  </si>
  <si>
    <t>मऊ आणि व्यवस्थापित करण्यायोग्य</t>
  </si>
  <si>
    <t>ऋतूनुसार कोरडा</t>
  </si>
  <si>
    <t>कोरडे वर्ष</t>
  </si>
  <si>
    <t>नेहमी कोरडे</t>
  </si>
  <si>
    <t>माझी त्वचा ठीक आहे</t>
  </si>
  <si>
    <t>वयाशी संबंधित सुरकुत्या</t>
  </si>
  <si>
    <t>माझ्या वयापेक्षा वयाने मोठा दिसतो</t>
  </si>
  <si>
    <t>संपूर्ण शरीरावर सुरकुत्या</t>
  </si>
  <si>
    <t>नेहमीचा</t>
  </si>
  <si>
    <t>अधूनमधून उशीरा</t>
  </si>
  <si>
    <t>नेहमी उशीर होतो</t>
  </si>
  <si>
    <t>अनियमित</t>
  </si>
  <si>
    <t>अपवादात्मक उपवास</t>
  </si>
  <si>
    <t>अपुरे उपवास</t>
  </si>
  <si>
    <t>सर्वसामान्य</t>
  </si>
  <si>
    <t>सौम्य नैराश्य</t>
  </si>
  <si>
    <t>मध्यम औदासिन्य</t>
  </si>
  <si>
    <t>गंभीर नैराश्य</t>
  </si>
  <si>
    <t>एलिव्हेटेड</t>
  </si>
  <si>
    <t>पहिला टप्पा</t>
  </si>
  <si>
    <t>दुसरा टप्पा</t>
  </si>
  <si>
    <t>हायपो संकट</t>
  </si>
  <si>
    <t>हायपो स्टेज 1</t>
  </si>
  <si>
    <t>Over Weight</t>
  </si>
  <si>
    <t>PHQ9_MODERATELY_SEVERE</t>
  </si>
  <si>
    <t>Do you binge on food?</t>
  </si>
  <si>
    <t>PERIOD</t>
  </si>
  <si>
    <t>string</t>
  </si>
  <si>
    <t>Test Customer Setup</t>
  </si>
  <si>
    <t>Complete</t>
  </si>
  <si>
    <t>1968-05-21</t>
  </si>
  <si>
    <t>date</t>
  </si>
  <si>
    <t>1968-03-10</t>
  </si>
  <si>
    <t>1990-10-06</t>
  </si>
  <si>
    <t>7.5</t>
  </si>
  <si>
    <t>decimal</t>
  </si>
  <si>
    <t>Test App Response</t>
  </si>
  <si>
    <t>Open</t>
  </si>
  <si>
    <t>22.5</t>
  </si>
  <si>
    <t>40.0</t>
  </si>
  <si>
    <t>8.5</t>
  </si>
  <si>
    <t>11.0</t>
  </si>
  <si>
    <t>13.5</t>
  </si>
  <si>
    <t>18.0</t>
  </si>
  <si>
    <t>21.599999999999998</t>
  </si>
  <si>
    <t>25.919999999999998</t>
  </si>
  <si>
    <t>3.5</t>
  </si>
  <si>
    <t>6.0</t>
  </si>
  <si>
    <t>8.0</t>
  </si>
  <si>
    <t>2.0</t>
  </si>
  <si>
    <t>5.5</t>
  </si>
  <si>
    <t>0.5</t>
  </si>
  <si>
    <t>0.6</t>
  </si>
  <si>
    <t>0.72</t>
  </si>
  <si>
    <t>4.0</t>
  </si>
  <si>
    <t>9.0</t>
  </si>
  <si>
    <t>14.0</t>
  </si>
  <si>
    <t>{"systolic":80,"diastolic":50,"heartRate":70}</t>
  </si>
  <si>
    <t>blood_pressure</t>
  </si>
  <si>
    <t>{"systolic":100,"diastolic":70,"heartRate":70}</t>
  </si>
  <si>
    <t>{"systolic":120,"diastolic":90,"heartRate":70}</t>
  </si>
  <si>
    <t>{"fasting":50.0,"nonFasting":80.0}</t>
  </si>
  <si>
    <t>blood_glucose</t>
  </si>
  <si>
    <t>{"fasting":70.0,"nonFasting":100.0}</t>
  </si>
  <si>
    <t>{"fasting":90.0,"nonFasting":120.0}</t>
  </si>
  <si>
    <t>Test Questionnire Response</t>
  </si>
  <si>
    <t>20.0</t>
  </si>
  <si>
    <t>22.0</t>
  </si>
  <si>
    <t>24.0</t>
  </si>
  <si>
    <t>0.7</t>
  </si>
  <si>
    <t>0.7999999999999999</t>
  </si>
  <si>
    <t>0.8999999999999999</t>
  </si>
  <si>
    <t>{"systolic":90,"diastolic":60,"heartRate":70}</t>
  </si>
  <si>
    <t>{"systolic":110,"diastolic":80,"heartRate":70}</t>
  </si>
  <si>
    <t>{"systolic":130,"diastolic":100,"heartRate":70}</t>
  </si>
  <si>
    <t>{"fasting":60.0,"nonFasting":90.0}</t>
  </si>
  <si>
    <t>{"fasting":80.0,"nonFasting":110.0}</t>
  </si>
  <si>
    <t>{"fasting":100.0,"nonFasting":130.0}</t>
  </si>
  <si>
    <t>Test Questionnire Response Retake Insert</t>
  </si>
  <si>
    <t>Test Age Response</t>
  </si>
  <si>
    <t>Table Name</t>
  </si>
  <si>
    <t>Column</t>
  </si>
  <si>
    <t>Table Data type</t>
  </si>
  <si>
    <t>Class Name</t>
  </si>
  <si>
    <t>VARCHAR</t>
  </si>
  <si>
    <t>String</t>
  </si>
  <si>
    <t>id</t>
  </si>
  <si>
    <t>updatedOn</t>
  </si>
  <si>
    <t>Integer</t>
  </si>
  <si>
    <t>SQL Query</t>
  </si>
  <si>
    <t>).getResultList();</t>
  </si>
  <si>
    <t>List l = session.createNativeQuery (""</t>
  </si>
  <si>
    <t xml:space="preserve">
).getResultList();</t>
  </si>
  <si>
    <t xml:space="preserve">List l = session.createNativeQuery (""
</t>
  </si>
  <si>
    <t xml:space="preserve">            if (l != null &amp;&amp; l.size() &gt; 0) {</t>
  </si>
  <si>
    <t xml:space="preserve">                for (Object o: l) {</t>
  </si>
  <si>
    <t xml:space="preserve">                    Object [] results = (Object []) o;</t>
  </si>
  <si>
    <t xml:space="preserve">                }</t>
  </si>
  <si>
    <t xml:space="preserve">            }</t>
  </si>
  <si>
    <t xml:space="preserve">            List l = session.createNativeQuery (""</t>
  </si>
  <si>
    <t xml:space="preserve">            ).getResultList();</t>
  </si>
  <si>
    <t>Boolean</t>
  </si>
  <si>
    <t>updatedBy</t>
  </si>
  <si>
    <t>group</t>
  </si>
  <si>
    <t>groupId</t>
  </si>
  <si>
    <t>weight</t>
  </si>
  <si>
    <t>Object Type</t>
  </si>
  <si>
    <t>Object Name</t>
  </si>
  <si>
    <t>question</t>
  </si>
  <si>
    <t>questionId</t>
  </si>
  <si>
    <t>rank</t>
  </si>
  <si>
    <t>DOUBLE</t>
  </si>
  <si>
    <t>SELECT GENDER, EXCELLENT,
    GOOD, AVERAGE
FROM WAIST_HIP</t>
  </si>
  <si>
    <t xml:space="preserve">+           "  SELECT GENDER, EXCELLENT,                            "  </t>
  </si>
  <si>
    <t xml:space="preserve">+           "      GOOD, AVERAGE                                    "  </t>
  </si>
  <si>
    <t xml:space="preserve">+           "  FROM WAIST_HIP                                       "  </t>
  </si>
  <si>
    <t xml:space="preserve">            +           "  SELECT GENDER, EXCELLENT,                            "  </t>
  </si>
  <si>
    <t xml:space="preserve">            +           "      GOOD, AVERAGE                                    "  </t>
  </si>
  <si>
    <t xml:space="preserve">            +           "  FROM WAIST_HIP                                       "  </t>
  </si>
  <si>
    <t>CustomerResponse</t>
  </si>
  <si>
    <t>customerId</t>
  </si>
  <si>
    <t>responseId</t>
  </si>
  <si>
    <t>response</t>
  </si>
  <si>
    <t>value</t>
  </si>
  <si>
    <t>type</t>
  </si>
  <si>
    <t>count</t>
  </si>
  <si>
    <t>createdOn</t>
  </si>
  <si>
    <t>isCurrent</t>
  </si>
  <si>
    <t>status</t>
  </si>
  <si>
    <t xml:space="preserve">                       customerresponse.id                                 = (Integer    ) results[0];</t>
  </si>
  <si>
    <t xml:space="preserve">                       customerresponse.customerId                         = (Integer    ) results[1];</t>
  </si>
  <si>
    <t xml:space="preserve">                       customerresponse.questionId                         = (Integer    ) results[2];</t>
  </si>
  <si>
    <t xml:space="preserve">                       customerresponse.responseId                         = (Integer    ) results[3];</t>
  </si>
  <si>
    <t xml:space="preserve">                       customerresponse.groupId                            = (Integer    ) results[4];</t>
  </si>
  <si>
    <t xml:space="preserve">                       customerresponse.group                              = (String     ) results[5];</t>
  </si>
  <si>
    <t xml:space="preserve">                       customerresponse.question                           = (String     ) results[6];</t>
  </si>
  <si>
    <t xml:space="preserve">                       customerresponse.response                           = (String     ) results[7];</t>
  </si>
  <si>
    <t xml:space="preserve">                       customerresponse.value                              = (String     ) results[8];</t>
  </si>
  <si>
    <t xml:space="preserve">                       customerresponse.type                               = (String     ) results[9];</t>
  </si>
  <si>
    <t xml:space="preserve">                       customerresponse.rank                               = (Integer    ) results[10];</t>
  </si>
  <si>
    <t xml:space="preserve">                       customerresponse.weight                             = (Integer    ) results[11];</t>
  </si>
  <si>
    <t xml:space="preserve">                       customerresponse.count                              = (Integer    ) results[12];</t>
  </si>
  <si>
    <t xml:space="preserve">                       customerresponse.createdOn                          = (Date       ) results[13];</t>
  </si>
  <si>
    <t xml:space="preserve">                       customerresponse.updatedOn                          = (Date       ) results[14];</t>
  </si>
  <si>
    <t xml:space="preserve">                       customerresponse.updatedBy                          = (String     ) results[15];</t>
  </si>
  <si>
    <t xml:space="preserve">                       customerresponse.isCurrent                          = (results[16] == null || ((int) results[16]) == 0) ? false: true;</t>
  </si>
  <si>
    <t xml:space="preserve">                       customerresponse.status                             = (String     ) results[17];</t>
  </si>
  <si>
    <t xml:space="preserve">            ArrayList&lt;CustomerResponse&gt; customerresponses = new ArrayList&lt;CustomerResponse&gt;();</t>
  </si>
  <si>
    <t xml:space="preserve">                    CustomerResponse customerresponse = new CustomerResponse();</t>
  </si>
  <si>
    <t xml:space="preserve">                    customerresponses.add(customerresponse);</t>
  </si>
  <si>
    <t xml:space="preserve">            returnVal = customerresponses.toArray(new CustomerResponse[] {});</t>
  </si>
  <si>
    <t>Long</t>
  </si>
  <si>
    <t>period</t>
  </si>
  <si>
    <t>Pain</t>
  </si>
  <si>
    <t>Woman</t>
  </si>
  <si>
    <t>Man</t>
  </si>
  <si>
    <t>Severe</t>
  </si>
  <si>
    <t>Mild</t>
  </si>
  <si>
    <t>PHQ9</t>
  </si>
  <si>
    <t>Anxious</t>
  </si>
  <si>
    <t>=&gt;</t>
  </si>
  <si>
    <t>Gender (Woman), Age (20 years under, 20 - 29 years, 30 - 39 years, 40 - 49 years)</t>
  </si>
  <si>
    <t>Eating Disorder</t>
  </si>
  <si>
    <t>Binge on Food (Often, Always)</t>
  </si>
  <si>
    <t>Question 1</t>
  </si>
  <si>
    <t>Question 2</t>
  </si>
  <si>
    <t>Question 3</t>
  </si>
  <si>
    <t>Question 4</t>
  </si>
  <si>
    <t>Allergy Analysis</t>
  </si>
  <si>
    <t>Allergies (Several times a Month, Daily)</t>
  </si>
  <si>
    <t>PCOD</t>
  </si>
  <si>
    <t>Pain Assessment</t>
  </si>
  <si>
    <t>Pain (Severe)</t>
  </si>
  <si>
    <t>Questionnaire Decision Tree</t>
  </si>
  <si>
    <t>Fertility</t>
  </si>
  <si>
    <t>Gender (Woman), Age (20 years under, 20 - 29 years, 30 - 39 years)</t>
  </si>
  <si>
    <t>Are you Pregnant?</t>
  </si>
  <si>
    <t>Are you planning to be Pregnant?</t>
  </si>
  <si>
    <t>Are you undergoing fertility treatment?</t>
  </si>
  <si>
    <t>Pregnency</t>
  </si>
  <si>
    <t>Are you planning to be Pregnant? (Yes)</t>
  </si>
  <si>
    <t>Are you Pregant? (No)</t>
  </si>
  <si>
    <t>Are you Pregnant? (Yes)</t>
  </si>
  <si>
    <t>Gender, Age</t>
  </si>
  <si>
    <r>
      <t xml:space="preserve">Gender (Woman), </t>
    </r>
    <r>
      <rPr>
        <i/>
        <sz val="10"/>
        <color theme="1"/>
        <rFont val="Calibri"/>
        <family val="2"/>
        <scheme val="minor"/>
      </rPr>
      <t xml:space="preserve">Menstrual (Irregular), </t>
    </r>
  </si>
  <si>
    <t>Acne</t>
  </si>
  <si>
    <t>Weight Gain</t>
  </si>
  <si>
    <t>Facial Hair</t>
  </si>
  <si>
    <t>Overian Cyst on Ultrasound</t>
  </si>
  <si>
    <t>if patient answered food, then start on ellimination diet</t>
  </si>
  <si>
    <t>Type of Allergy (Skin, Nasal, Food, Drug, Seasonal)</t>
  </si>
  <si>
    <t>Acid Reflux</t>
  </si>
  <si>
    <t>Bloating</t>
  </si>
  <si>
    <t>Gut Health</t>
  </si>
  <si>
    <t>Bowl Movement (Clear Daily, Clear Alternate Day, Clear once a week, Severe Constipation)</t>
  </si>
  <si>
    <t>Diarrhea</t>
  </si>
  <si>
    <t>At least 3 would Gut Micro Biome Testing</t>
  </si>
  <si>
    <t>Skin Health</t>
  </si>
  <si>
    <t>Dry</t>
  </si>
  <si>
    <t>Oily</t>
  </si>
  <si>
    <t>Rashes</t>
  </si>
  <si>
    <t>Health Score</t>
  </si>
  <si>
    <t>Healthy Life Status</t>
  </si>
  <si>
    <t>BUNDLE_ID</t>
  </si>
  <si>
    <t>Free T3</t>
  </si>
  <si>
    <t>Free T4</t>
  </si>
  <si>
    <t>TSH</t>
  </si>
  <si>
    <t>Complete Blood Count (CBC)</t>
  </si>
  <si>
    <t>Red Blood Cells (RBC)</t>
  </si>
  <si>
    <t>White Blood Cells (WBC)</t>
  </si>
  <si>
    <t>Platelets</t>
  </si>
  <si>
    <t>Hemoglobin</t>
  </si>
  <si>
    <t>TEST_ID</t>
  </si>
  <si>
    <t>TEST_NAME</t>
  </si>
  <si>
    <t>LBOUND</t>
  </si>
  <si>
    <t>UBOUND</t>
  </si>
  <si>
    <t>POSITIVE</t>
  </si>
  <si>
    <t>UNIT_OF_MEASURE</t>
  </si>
  <si>
    <t>TYP</t>
  </si>
  <si>
    <t>10^6/microleter (μL)</t>
  </si>
  <si>
    <t>10^3/microleter (μL)</t>
  </si>
  <si>
    <t>grams/deciliter (g/dL)</t>
  </si>
  <si>
    <t>Normal (RBC)</t>
  </si>
  <si>
    <t>Normal (WBC)</t>
  </si>
  <si>
    <t>Normal (Platelets)</t>
  </si>
  <si>
    <t>Normal (Hemoglobin)</t>
  </si>
  <si>
    <t>ESR</t>
  </si>
  <si>
    <t>Comprehensive Metabolic Panel (CMP)</t>
  </si>
  <si>
    <t>Thyroid Panel (TP)</t>
  </si>
  <si>
    <t>Lipid Panel (LP)</t>
  </si>
  <si>
    <t>ng/dL</t>
  </si>
  <si>
    <t>mIU/L</t>
  </si>
  <si>
    <t>High-density lipoprotein (HDL) cholesterol</t>
  </si>
  <si>
    <t>Low-density lipoprotein (LDL) cholesterol</t>
  </si>
  <si>
    <t>Triglycerides</t>
  </si>
  <si>
    <t>Total cholesterol</t>
  </si>
  <si>
    <t>mg/dL</t>
  </si>
  <si>
    <t>Calcium</t>
  </si>
  <si>
    <t>Sodium</t>
  </si>
  <si>
    <t>Potassium</t>
  </si>
  <si>
    <t>Bicarbonate</t>
  </si>
  <si>
    <t>Chloride</t>
  </si>
  <si>
    <t>Blood Urea Nitrogen (BUN)</t>
  </si>
  <si>
    <t>Creatinine</t>
  </si>
  <si>
    <t>Albumin</t>
  </si>
  <si>
    <t>Alkaline Phosphatase (ALP)</t>
  </si>
  <si>
    <t>Alanine Aminotransferase (ALT)</t>
  </si>
  <si>
    <t>Aspartate Aminotransferase (AST)</t>
  </si>
  <si>
    <t>Bilirubin</t>
  </si>
  <si>
    <t>Normal (HDL)</t>
  </si>
  <si>
    <t>Normal (LDL)</t>
  </si>
  <si>
    <t>Normal (Triglycerides)</t>
  </si>
  <si>
    <t>Normal (Total cholestrol)</t>
  </si>
  <si>
    <t>Normal (T3)</t>
  </si>
  <si>
    <t>Normal (T4)</t>
  </si>
  <si>
    <t>Normal (TSH)</t>
  </si>
  <si>
    <t>mm/hr</t>
  </si>
  <si>
    <t>mmol/L</t>
  </si>
  <si>
    <t>g/dL</t>
  </si>
  <si>
    <t>Total Protein</t>
  </si>
  <si>
    <t>IU/L</t>
  </si>
  <si>
    <t>pg/dL</t>
  </si>
  <si>
    <t>Normal (ESR)</t>
  </si>
  <si>
    <t>QUESTION_IDS</t>
  </si>
  <si>
    <t>QUESTIONS</t>
  </si>
  <si>
    <t>["Man"]</t>
  </si>
  <si>
    <t>["Woman"]</t>
  </si>
  <si>
    <t>100, 200</t>
  </si>
  <si>
    <t>["Man", "20 years under"]</t>
  </si>
  <si>
    <t>["Woman", "20 years under"]</t>
  </si>
  <si>
    <t>["Man", "20 - 29 years,30 - 39 years,40 - 49 years"]</t>
  </si>
  <si>
    <t>["Man", "50 - 59 years,60 - 69 years,70 - 79 years,80 years and over"]</t>
  </si>
  <si>
    <t>["Woman", "20 - 29 years,30 - 39 years,40 - 49 years"]</t>
  </si>
  <si>
    <t>["Woman", "50 - 59 years,60 - 69 years,70 - 79 years,80 years and over"]</t>
  </si>
  <si>
    <t>["20 years under"]</t>
  </si>
  <si>
    <t>["20 - 29 years,30 - 39 years,40 - 49 years,50 - 59 years,60 - 69 years,70 - 79 years,80 years and over"]</t>
  </si>
  <si>
    <t>Normal (Calcium)</t>
  </si>
  <si>
    <t>Normal (Sodium)</t>
  </si>
  <si>
    <t>Normal (Potassium)</t>
  </si>
  <si>
    <t>Normal (Bicarbonate)</t>
  </si>
  <si>
    <t>Normal (Chloride)</t>
  </si>
  <si>
    <t>Normal (Glucose fasting)</t>
  </si>
  <si>
    <t>mEq/L</t>
  </si>
  <si>
    <t>Normal (Blood Urea Nitrogen (BUN))</t>
  </si>
  <si>
    <t>Normal (Creatinine)</t>
  </si>
  <si>
    <t>Normal (Albumin)</t>
  </si>
  <si>
    <t>Normal (Total Protein)</t>
  </si>
  <si>
    <t>Normal (Alkaline Phosphatase (ALP))</t>
  </si>
  <si>
    <t>Normal (Alanine Aminotransferase (ALT))</t>
  </si>
  <si>
    <t>Normal (Aspartate Aminotransferase (AST))</t>
  </si>
  <si>
    <t>Normal (Bilirubin)</t>
  </si>
  <si>
    <t>RESPONSES</t>
  </si>
  <si>
    <t>Hypo (RBC)</t>
  </si>
  <si>
    <t>Hypo (WBC)</t>
  </si>
  <si>
    <t>Hypo (Platelets)</t>
  </si>
  <si>
    <t>Hypo (Hemoglobin)</t>
  </si>
  <si>
    <t>Hyper (RBC)</t>
  </si>
  <si>
    <t>Hyper (WBC)</t>
  </si>
  <si>
    <t>Hyper (Platelets)</t>
  </si>
  <si>
    <t>Hyper (Hemoglobin)</t>
  </si>
  <si>
    <t>Crisis Hyper (RBC)</t>
  </si>
  <si>
    <t>Crisis Hyper (WBC)</t>
  </si>
  <si>
    <t>Crisis Hyper (Platelets)</t>
  </si>
  <si>
    <t>Crisis Hyper (Hemoglobin)</t>
  </si>
  <si>
    <t>Crisis Hypo (RBC)</t>
  </si>
  <si>
    <t>Crisis Hypo (WBC)</t>
  </si>
  <si>
    <t>Crisis Hypo (Platelets)</t>
  </si>
  <si>
    <t>Crisis Hypo (Hemoglobin)</t>
  </si>
  <si>
    <t>Elevated (ESR)</t>
  </si>
  <si>
    <t>Crisis (ESR)</t>
  </si>
  <si>
    <t>Hyper (Calcium)</t>
  </si>
  <si>
    <t>Hyper (Glucose fasting)</t>
  </si>
  <si>
    <t>Hyper (Sodium)</t>
  </si>
  <si>
    <t>Hyper (Potassium)</t>
  </si>
  <si>
    <t>Hyper (Bicarbonate)</t>
  </si>
  <si>
    <t>Hyper (Chloride)</t>
  </si>
  <si>
    <t>Hyper (Blood Urea Nitrogen (BUN))</t>
  </si>
  <si>
    <t>Hyper (Creatinine)</t>
  </si>
  <si>
    <t>Hyper (Albumin)</t>
  </si>
  <si>
    <t>Hyper (Total Protein)</t>
  </si>
  <si>
    <t>Hyper (Alkaline Phosphatase (ALP))</t>
  </si>
  <si>
    <t>Hyper (Alanine Aminotransferase (ALT))</t>
  </si>
  <si>
    <t>Hyper (Aspartate Aminotransferase (AST))</t>
  </si>
  <si>
    <t>Hyper (Bilirubin)</t>
  </si>
  <si>
    <t>Hypo (Calcium)</t>
  </si>
  <si>
    <t>Hypo (Glucose fasting)</t>
  </si>
  <si>
    <t>Hypo (Sodium)</t>
  </si>
  <si>
    <t>Hypo (Potassium)</t>
  </si>
  <si>
    <t>Hypo (Bicarbonate)</t>
  </si>
  <si>
    <t>Hypo (Chloride)</t>
  </si>
  <si>
    <t>Hypo (Blood Urea Nitrogen (BUN))</t>
  </si>
  <si>
    <t>Hypo (Creatinine)</t>
  </si>
  <si>
    <t>Hypo (Albumin)</t>
  </si>
  <si>
    <t>Hypo (Total Protein)</t>
  </si>
  <si>
    <t>Hypo (Alkaline Phosphatase (ALP))</t>
  </si>
  <si>
    <t>Hypo (Alanine Aminotransferase (ALT))</t>
  </si>
  <si>
    <t>Hypo (Aspartate Aminotransferase (AST))</t>
  </si>
  <si>
    <t>Hypo (Bilirubin)</t>
  </si>
  <si>
    <t>Low (HDL)</t>
  </si>
  <si>
    <t>High (LDL)</t>
  </si>
  <si>
    <t>High (Triglycerides)</t>
  </si>
  <si>
    <t>High (Total cholestrol)</t>
  </si>
  <si>
    <t>Hypo (T3)</t>
  </si>
  <si>
    <t>Hypo (T4)</t>
  </si>
  <si>
    <t>Hypo (TSH)</t>
  </si>
  <si>
    <t>Hyper (T3)</t>
  </si>
  <si>
    <t>Hyper (T4)</t>
  </si>
  <si>
    <t>Hyper (TSH)</t>
  </si>
  <si>
    <t>PARENT_TEST_ID</t>
  </si>
  <si>
    <t>PARENT_RESULT_ID</t>
  </si>
  <si>
    <t>Routine Urine</t>
  </si>
  <si>
    <t>Color and Transparency</t>
  </si>
  <si>
    <t>Specific Gravity</t>
  </si>
  <si>
    <t>pH Level</t>
  </si>
  <si>
    <t>Protein</t>
  </si>
  <si>
    <t>Ketones</t>
  </si>
  <si>
    <t>Blood</t>
  </si>
  <si>
    <t>pH</t>
  </si>
  <si>
    <t>option</t>
  </si>
  <si>
    <t>NA</t>
  </si>
  <si>
    <t>Dark</t>
  </si>
  <si>
    <t>Cloudy</t>
  </si>
  <si>
    <t>High</t>
  </si>
  <si>
    <t>Low</t>
  </si>
  <si>
    <t>Acidic</t>
  </si>
  <si>
    <t>Basic</t>
  </si>
  <si>
    <t>Positive</t>
  </si>
  <si>
    <t>Negative</t>
  </si>
  <si>
    <t>positive</t>
  </si>
  <si>
    <t>OBJECT_ID</t>
  </si>
  <si>
    <t>Insulin</t>
  </si>
  <si>
    <t>mcIU/mL</t>
  </si>
  <si>
    <t>Normal (Insulin)</t>
  </si>
  <si>
    <t>Hypo (Insulin)</t>
  </si>
  <si>
    <t>Hyper (Insulin)</t>
  </si>
  <si>
    <t>Iron Study</t>
  </si>
  <si>
    <t>Ferritin</t>
  </si>
  <si>
    <t>Iron</t>
  </si>
  <si>
    <t>Reticulocytes</t>
  </si>
  <si>
    <t>Blood Smear</t>
  </si>
  <si>
    <t>µg/L</t>
  </si>
  <si>
    <t>µmol/L</t>
  </si>
  <si>
    <t>%</t>
  </si>
  <si>
    <t>Anemia</t>
  </si>
  <si>
    <t>Low (Ferritin)</t>
  </si>
  <si>
    <t>Low (Iron)</t>
  </si>
  <si>
    <t>Low (Reticulocytes)</t>
  </si>
  <si>
    <t>Normal (Iron)</t>
  </si>
  <si>
    <t>Normal (Reticulocytes)</t>
  </si>
  <si>
    <t>Normal (Blood Smear)</t>
  </si>
  <si>
    <t>Normal (Ferritin)</t>
  </si>
  <si>
    <t>High (Reticulocytes)</t>
  </si>
  <si>
    <t>Abnormal (Blood Snear)</t>
  </si>
  <si>
    <t>No Pain</t>
  </si>
  <si>
    <t>Moderate Pain</t>
  </si>
  <si>
    <t>Severe Pain</t>
  </si>
  <si>
    <t>Mild Pain</t>
  </si>
  <si>
    <t>Interpretter</t>
  </si>
  <si>
    <t>Repeat Test Bundle</t>
  </si>
  <si>
    <t>Repeat Health Group Questionnaire</t>
  </si>
  <si>
    <t>Repeat Question not answered</t>
  </si>
  <si>
    <t>Repeat Test Bundle not responded</t>
  </si>
  <si>
    <t>दोहराएँ प्रश्न का उत्तर नहीं</t>
  </si>
  <si>
    <t>स्वास्थ्य समूह प्रश्नावली दोहराएं</t>
  </si>
  <si>
    <t>दोहराएँ परीक्षण बंडल प्रतिसाद नहीं दिया</t>
  </si>
  <si>
    <t>टेस्ट बंडल दोहराएं</t>
  </si>
  <si>
    <t>पुनरावृत्ती प्रश्नाचे उत्तर नाही</t>
  </si>
  <si>
    <t>आरोग्य गट प्रश्नावली ची पुनरावृत्ती करा</t>
  </si>
  <si>
    <t>पुनरावृत्ती चाचणी बंडलला प्रतिसाद मिळाला नाही</t>
  </si>
  <si>
    <t>पुनरावृत्ती चाचणी बंडल</t>
  </si>
  <si>
    <t>পুনরাবৃত্তি প্রশ্নের উত্তর দেওয়া হয়নি</t>
  </si>
  <si>
    <t>স্বাস্থ্য গ্রুপের প্রশ্নাবলীর পুনরাবৃত্তি করুন</t>
  </si>
  <si>
    <t>পুনরাবৃত্তি পরীক্ষার বান্ডিল প্রতিক্রিয়া জানানো হয়নি</t>
  </si>
  <si>
    <t>টেস্ট বান্ডিল পুনরাবৃত্তি করুন</t>
  </si>
  <si>
    <t>పునరావృత ప్రశ్నకు సమాధానం ఇవ్వబడలేదు</t>
  </si>
  <si>
    <t>హెల్త్ గ్రూప్ ప్రశ్నావళిని పునరావృతం చేయండి</t>
  </si>
  <si>
    <t>రిపీట్ టెస్ట్ బండిల్ ప్రతిస్పందించలేదు</t>
  </si>
  <si>
    <t>రిపీట్ టెస్ట్ బండిల్</t>
  </si>
  <si>
    <t>மீண்டும் கேள்வி பதிலளிக்கப்படவில்லை</t>
  </si>
  <si>
    <t>உடல்நலக் குழு கேள்வித்தாளை மீண்டும் செய்யவும்</t>
  </si>
  <si>
    <t>மீண்டும் செய் சோதனை மூட்டை பதிலளிக்கவில்லை</t>
  </si>
  <si>
    <t>சோதனை மூட்டையை மீண்டும் செய்யவும்</t>
  </si>
  <si>
    <t>BUNDLE_GROUP</t>
  </si>
  <si>
    <t>முழுமையான இரத்த எண்ணிக்கை (சிபிசி).</t>
  </si>
  <si>
    <t>ஈ.எஸ்.ஆர்</t>
  </si>
  <si>
    <t>விரிவான வளர்சிதை மாற்ற குழு (CMP)</t>
  </si>
  <si>
    <t>லிப்பிட் பேனல் (LP)</t>
  </si>
  <si>
    <t>தைராய்டு பேனல் (TP)</t>
  </si>
  <si>
    <t>வழக்கமான சிறுநீர்</t>
  </si>
  <si>
    <t>இரும்பு ஆய்வு</t>
  </si>
  <si>
    <t>இரத்த சிவப்பணுக்கள் (RBC)</t>
  </si>
  <si>
    <t>வெள்ளை இரத்த அணுக்கள் (WBC)</t>
  </si>
  <si>
    <t>பிளேட்லெட்டுகள்</t>
  </si>
  <si>
    <t>ஹீமோகுளோபின்</t>
  </si>
  <si>
    <t>சுண்ணம்</t>
  </si>
  <si>
    <t>சோடியம்</t>
  </si>
  <si>
    <t>பொட்டாசியம்</t>
  </si>
  <si>
    <t>பைகார்பனேட்</t>
  </si>
  <si>
    <t>குளோரைடு</t>
  </si>
  <si>
    <t>இரத்த யூரியா நைட்ரஜன் (BUN)</t>
  </si>
  <si>
    <t>கிரியேட்டினின்</t>
  </si>
  <si>
    <t>ஆல்புமின்</t>
  </si>
  <si>
    <t>மொத்த புரதம்</t>
  </si>
  <si>
    <t>அல்கலைன் பாஸ்பேடேஸ் (ALP)</t>
  </si>
  <si>
    <t>அலனைன் அமினோட்ரான்ஸ்ஃபெரேஸ் (ALT)</t>
  </si>
  <si>
    <t>அஸ்பார்டேட் அமினோட்ரான்ஸ்ஃபெரேஸ் (AST)</t>
  </si>
  <si>
    <t>பிலிரூபின்</t>
  </si>
  <si>
    <t>இன்சுலின்</t>
  </si>
  <si>
    <t>உயர் அடர்த்தி கொழுப்புப்புரதம் (HDL) கொழுப்பு</t>
  </si>
  <si>
    <t>குறைந்த அடர்த்தி கொழுப்புப்புரதம் (LDL) கொழுப்பு</t>
  </si>
  <si>
    <t>ட்ரைகிளிசரைடுகள்</t>
  </si>
  <si>
    <t>மொத்த கொழுப்பு</t>
  </si>
  <si>
    <t>இலவச டி 3</t>
  </si>
  <si>
    <t>இலவச டி 4</t>
  </si>
  <si>
    <t>டி.எஸ்.எச்</t>
  </si>
  <si>
    <t>நிறம் மற்றும் வெளிப்படைத்தன்மை</t>
  </si>
  <si>
    <t>குறிப்பிட்ட ஈர்ப்பு விசை</t>
  </si>
  <si>
    <t>pH நிலை</t>
  </si>
  <si>
    <t>புரதம்</t>
  </si>
  <si>
    <t>கீட்டோன்கள்</t>
  </si>
  <si>
    <t>குருதி</t>
  </si>
  <si>
    <t>ஃபெரிடின்</t>
  </si>
  <si>
    <t>இரும்பு</t>
  </si>
  <si>
    <t>ரெட்டிகுலோசைட்டுகள்</t>
  </si>
  <si>
    <t>இரத்த ஸ்மியர்</t>
  </si>
  <si>
    <t>সম্পূর্ণ রক্ত গণনা (সিবিসি)</t>
  </si>
  <si>
    <t>ইএসআর</t>
  </si>
  <si>
    <t>কম্প্রিহেনসিভ মেটাবলিক প্যানেল (সিএমপি)</t>
  </si>
  <si>
    <t>লিপিড প্যানেল (এলপি)</t>
  </si>
  <si>
    <t>থাইরয়েড প্যানেল (টিপি)</t>
  </si>
  <si>
    <t>নিয়মিত প্রস্রাব</t>
  </si>
  <si>
    <t>আয়রন স্টাডি</t>
  </si>
  <si>
    <t>লোহিত রক্তকণিকা (আরবিসি)</t>
  </si>
  <si>
    <t>শ্বেত রক্তকণিকা (ডাব্লুবিসি)</t>
  </si>
  <si>
    <t>প্লেটলেট</t>
  </si>
  <si>
    <t>হিমোগ্লোবিন</t>
  </si>
  <si>
    <t>ক্যালসিয়াম</t>
  </si>
  <si>
    <t>সোডিয়াম</t>
  </si>
  <si>
    <t>পটাশিয়াম</t>
  </si>
  <si>
    <t>বাইকার্বোনেট</t>
  </si>
  <si>
    <t>ক্লোরাইড</t>
  </si>
  <si>
    <t>ব্লাড ইউরিয়া নাইট্রোজেন (বিইউএন)</t>
  </si>
  <si>
    <t>ক্রিয়েটিনিন</t>
  </si>
  <si>
    <t>অ্যালবুমিন</t>
  </si>
  <si>
    <t>মোট প্রোটিন</t>
  </si>
  <si>
    <t>ক্ষারীয় ফসফেটেজ (এএলপি)</t>
  </si>
  <si>
    <t>অ্যালানাইন অ্যামিনোট্রান্সফেরাজ (এএলটি)</t>
  </si>
  <si>
    <t>অ্যাস্পার্টেট অ্যামিনোট্রান্সফেরাজ (এএসটি)</t>
  </si>
  <si>
    <t>বিলিরুবিন</t>
  </si>
  <si>
    <t>ইনসুলিন</t>
  </si>
  <si>
    <t>উচ্চ ঘনত্বের লাইপোপ্রোটিন (এইচডিএল) কোলেস্টেরল</t>
  </si>
  <si>
    <t>কম ঘনত্বের লাইপোপ্রোটিন (এলডিএল) কোলেস্টেরল</t>
  </si>
  <si>
    <t>ট্রাইগ্লিসারাইড</t>
  </si>
  <si>
    <t>মোট কোলেস্টেরল</t>
  </si>
  <si>
    <t>বিনামূল্যে T3</t>
  </si>
  <si>
    <t>বিনামূল্যে T4</t>
  </si>
  <si>
    <t>টিএসএইচ</t>
  </si>
  <si>
    <t>রঙ এবং স্বচ্ছতা</t>
  </si>
  <si>
    <t>নির্দিষ্ট মাধ্যাকর্ষণ</t>
  </si>
  <si>
    <t>পিএইচ লেভেল</t>
  </si>
  <si>
    <t>প্রোটিন</t>
  </si>
  <si>
    <t>কেটোনস</t>
  </si>
  <si>
    <t>রক্ত</t>
  </si>
  <si>
    <t>ফেরিটিন</t>
  </si>
  <si>
    <t>আকরিক</t>
  </si>
  <si>
    <t>রেটিকুলোসাইট</t>
  </si>
  <si>
    <t>রক্তের দাগ</t>
  </si>
  <si>
    <t>संपूर्ण रक्त गणना (सीबीसी)</t>
  </si>
  <si>
    <t>ईएसआर</t>
  </si>
  <si>
    <t>व्यापक चयापचय पॅनेल (सीएमपी)</t>
  </si>
  <si>
    <t>लिपिड पॅनेल (एलपी)</t>
  </si>
  <si>
    <t>थायरॉईड पॅनेल (टीपी)</t>
  </si>
  <si>
    <t>नियमित लघवी</t>
  </si>
  <si>
    <t>लोह अभ्यास</t>
  </si>
  <si>
    <t>लाल रक्त पेशी (आरबीसी)</t>
  </si>
  <si>
    <t>पांढर्या रक्त पेशी (डब्ल्यूबीसी)</t>
  </si>
  <si>
    <t>प्लेटलेट्स</t>
  </si>
  <si>
    <t>हिमोग्लोबिन</t>
  </si>
  <si>
    <t>कॅल्शियम</t>
  </si>
  <si>
    <t>सोडियम</t>
  </si>
  <si>
    <t>पोटॅशियम</t>
  </si>
  <si>
    <t>बायकार्बोनेट</t>
  </si>
  <si>
    <t>क्लोराइड</t>
  </si>
  <si>
    <t>रक्त युरिया नायट्रोजन (बीयूएन)</t>
  </si>
  <si>
    <t>क्रिएटिनिन</t>
  </si>
  <si>
    <t>अल्ब्युमिन</t>
  </si>
  <si>
    <t>एकूण प्रथिने</t>
  </si>
  <si>
    <t>एस्पार्टेट अमिनोट्रान्सफेरस (एएसटी)</t>
  </si>
  <si>
    <t>बिलीरुबिन</t>
  </si>
  <si>
    <t>इन्सुलिन</t>
  </si>
  <si>
    <t>ट्रायग्लिसेराइड्स</t>
  </si>
  <si>
    <t>एकूण कोलेस्ट्रॉल</t>
  </si>
  <si>
    <t>विनामूल्य टी 3</t>
  </si>
  <si>
    <t>विनामूल्य टी 4</t>
  </si>
  <si>
    <t>टीएसएच</t>
  </si>
  <si>
    <t>रंग आणि पारदर्शकता</t>
  </si>
  <si>
    <t>विशिष्ट गुरुत्वाकर्षण</t>
  </si>
  <si>
    <t>पीएच पातळी</t>
  </si>
  <si>
    <t>प्रथिने</t>
  </si>
  <si>
    <t>केटोन्स</t>
  </si>
  <si>
    <t>रक्त</t>
  </si>
  <si>
    <t>फेरिटिन</t>
  </si>
  <si>
    <t>लोखंड</t>
  </si>
  <si>
    <t>रेटिकुलोसाइट्स</t>
  </si>
  <si>
    <t>रक्त ाची डागडुजी</t>
  </si>
  <si>
    <t>अल्कधर्मी फॉस्फेट (एएलपी)</t>
  </si>
  <si>
    <t>अलेनिन अमिनोट्रान्सफेरस (एएलटी)</t>
  </si>
  <si>
    <t>उच्च-घनतेचे लिपोप्रोटीन (एचडीएल) कोलेस्ट्रॉल</t>
  </si>
  <si>
    <t>कमी घनतेचे लिपोप्रोटीन (एलडीएल) कोलेस्ट्रॉल</t>
  </si>
  <si>
    <t>కంప్లీట్ బ్లడ్ కౌంట్ (సిబిసి)</t>
  </si>
  <si>
    <t>కాంప్రహెన్సివ్ మెటబాలిక్ ప్యానెల్ (సీఎంపీ)</t>
  </si>
  <si>
    <t>లిపిడ్ ప్యానెల్ (ఎల్పి)</t>
  </si>
  <si>
    <t>థైరాయిడ్ ప్యానెల్ (టిపి)</t>
  </si>
  <si>
    <t>రొటీన్ మూత్రం</t>
  </si>
  <si>
    <t>ఇనుము అధ్యయనం</t>
  </si>
  <si>
    <t>ఎర్ర రక్త కణాలు (ఆర్బిసి)</t>
  </si>
  <si>
    <t>తెల్ల రక్త కణాలు (డబ్ల్యుబిసి)</t>
  </si>
  <si>
    <t>ప్లేట్లెట్స్</t>
  </si>
  <si>
    <t>హిమోగ్లోబిన్</t>
  </si>
  <si>
    <t>సున్నము</t>
  </si>
  <si>
    <t>సోడియమ్</t>
  </si>
  <si>
    <t>పొటాషియం</t>
  </si>
  <si>
    <t>బైకార్బోనేట్</t>
  </si>
  <si>
    <t>క్లోరైడ్</t>
  </si>
  <si>
    <t>బ్లడ్ యూరియా నైట్రోజన్ (BUN)</t>
  </si>
  <si>
    <t>క్రియేటినిన్</t>
  </si>
  <si>
    <t>ఆల్బుమిన్</t>
  </si>
  <si>
    <t>మొత్తం ప్రోటీన్</t>
  </si>
  <si>
    <t>ఆల్కలీన్ ఫాస్ఫేటేస్ (ఎఎల్పి)</t>
  </si>
  <si>
    <t>అలనైన్ అమైనోట్రాన్స్ఫెరేస్ (ఎఎల్టి)</t>
  </si>
  <si>
    <t>అస్పర్టేట్ అమైనోట్రాన్స్ఫెరేస్ (ఎఎస్టి)</t>
  </si>
  <si>
    <t>ఇన్సులిన్</t>
  </si>
  <si>
    <t>అధిక-సాంద్రత కలిగిన లిపోప్రొటీన్ (హెచ్డిఎల్) కొలెస్ట్రాల్</t>
  </si>
  <si>
    <t>తక్కువ-సాంద్రత కలిగిన లిపోప్రొటీన్ (ఎల్డిఎల్) కొలెస్ట్రాల్</t>
  </si>
  <si>
    <t>ట్రైగ్లిజరైడ్స్</t>
  </si>
  <si>
    <t>మొత్తం కొలెస్ట్రాల్</t>
  </si>
  <si>
    <t>ఉచిత టి3</t>
  </si>
  <si>
    <t>ఉచిత టి4</t>
  </si>
  <si>
    <t>టీఎస్ హెచ్</t>
  </si>
  <si>
    <t>రంగు మరియు పారదర్శకత</t>
  </si>
  <si>
    <t>నిర్దిష్ట గురుత్వాకర్షణ</t>
  </si>
  <si>
    <t>pH స్థాయి</t>
  </si>
  <si>
    <t>ప్రోటీన్</t>
  </si>
  <si>
    <t>కీటోన్లు</t>
  </si>
  <si>
    <t>రక్తం</t>
  </si>
  <si>
    <t>ఫెర్రిటిన్</t>
  </si>
  <si>
    <t>ఇనుము</t>
  </si>
  <si>
    <t>రెటికులోసైట్లు</t>
  </si>
  <si>
    <t>బ్లడ్ స్మెర్</t>
  </si>
  <si>
    <t>पूर्ण रक्त गणना (सीबीसी)</t>
  </si>
  <si>
    <t>व्यापक मेटाबोलिक पैनल (CMP)</t>
  </si>
  <si>
    <t>लिपिड पैनल (एलपी)</t>
  </si>
  <si>
    <t>थायराइड पैनल (टीपी)</t>
  </si>
  <si>
    <t>नियमित मूत्र</t>
  </si>
  <si>
    <t>आयरन स्टडी</t>
  </si>
  <si>
    <t>लाल रक्त कोशिकाएं (आरबीसी)</t>
  </si>
  <si>
    <t>श्वेत रक्त कोशिकाएं (WBC)</t>
  </si>
  <si>
    <t>प्लेटलेटों</t>
  </si>
  <si>
    <t>हीमोग्लोबिन</t>
  </si>
  <si>
    <t>चूना</t>
  </si>
  <si>
    <t>पोटैशियम</t>
  </si>
  <si>
    <t>बाइकार्बोनेट</t>
  </si>
  <si>
    <t>क्‍लोराइड</t>
  </si>
  <si>
    <t>रक्त यूरिया नाइट्रोजन (BUN)</t>
  </si>
  <si>
    <t>एल्बुमिन</t>
  </si>
  <si>
    <t>कुल प्रोटीन</t>
  </si>
  <si>
    <t>क्षारीय फॉस्फेट (एएलपी)</t>
  </si>
  <si>
    <t>एलानिन एमिनोट्रांस्फरेज़ (ALT)</t>
  </si>
  <si>
    <t>एस्पार्टेट एमिनोट्रांसफरेज़ (एएसटी)</t>
  </si>
  <si>
    <t>बिलिरूबिन</t>
  </si>
  <si>
    <t>इनसुलिन</t>
  </si>
  <si>
    <t>उच्च घनत्व वाले लिपोप्रोटीन (एचडीएल) कोलेस्ट्रॉल</t>
  </si>
  <si>
    <t>कम घनत्व वाले लिपोप्रोटीन (एलडीएल) कोलेस्ट्रॉल</t>
  </si>
  <si>
    <t>ट्राइग्लिसराइड्स</t>
  </si>
  <si>
    <t>कुल कोलेस्ट्रॉल</t>
  </si>
  <si>
    <t>नि: शुल्क T3</t>
  </si>
  <si>
    <t>नि: शुल्क T4</t>
  </si>
  <si>
    <t>रंग और पारदर्शिता</t>
  </si>
  <si>
    <t>विशिष्ट गुरुत्व</t>
  </si>
  <si>
    <t>पीएच स्तर</t>
  </si>
  <si>
    <t>प्रोटीन</t>
  </si>
  <si>
    <t>कीटोन्स</t>
  </si>
  <si>
    <t>रुधिर</t>
  </si>
  <si>
    <t>लोहा</t>
  </si>
  <si>
    <t>रक्त धब्बा</t>
  </si>
  <si>
    <t>user_name</t>
  </si>
  <si>
    <t>date_of_birth</t>
  </si>
  <si>
    <t>gender</t>
  </si>
  <si>
    <t>language</t>
  </si>
  <si>
    <t>is_active</t>
  </si>
  <si>
    <t>health_index</t>
  </si>
  <si>
    <t>mobile</t>
  </si>
  <si>
    <t>email</t>
  </si>
  <si>
    <t>timezone</t>
  </si>
  <si>
    <t>medication_compliance</t>
  </si>
  <si>
    <t>2-Hindi</t>
  </si>
  <si>
    <t>+1(732)429-4470</t>
  </si>
  <si>
    <t>rsahlawat@yahoo.com</t>
  </si>
  <si>
    <t>RESPONSE_TYPE</t>
  </si>
  <si>
    <t>INSERT INTO QUESTION (ID, NAME, QUESTION_TEXT, GROUP_ID, WEIGHT, SEQUENCE, UPDATED_BY, FORMATTER, RESPONSE_TYPE) VALUES</t>
  </si>
  <si>
    <t>100</t>
  </si>
  <si>
    <t>1000</t>
  </si>
  <si>
    <t>0</t>
  </si>
  <si>
    <t>10</t>
  </si>
  <si>
    <t>com.lnf.questionnaire.datamodel.formatter.DefaultFormatter</t>
  </si>
  <si>
    <t>selection</t>
  </si>
  <si>
    <t>200</t>
  </si>
  <si>
    <t>1</t>
  </si>
  <si>
    <t>20</t>
  </si>
  <si>
    <t>com.lnf.questionnaire.datamodel.formatter.AgeFormatter</t>
  </si>
  <si>
    <t>2000</t>
  </si>
  <si>
    <t>2</t>
  </si>
  <si>
    <t>30</t>
  </si>
  <si>
    <t>com.lnf.questionnaire.datamodel.formatter.BmiFormatter</t>
  </si>
  <si>
    <t>40</t>
  </si>
  <si>
    <t>com.lnf.questionnaire.datamodel.formatter.WaistToHipFormatter</t>
  </si>
  <si>
    <t>3000</t>
  </si>
  <si>
    <t>50</t>
  </si>
  <si>
    <t>com.lnf.questionnaire.datamodel.formatter.SleepFormatter</t>
  </si>
  <si>
    <t>4000</t>
  </si>
  <si>
    <t>60</t>
  </si>
  <si>
    <t>5000</t>
  </si>
  <si>
    <t>70</t>
  </si>
  <si>
    <t>6000</t>
  </si>
  <si>
    <t>5</t>
  </si>
  <si>
    <t>80</t>
  </si>
  <si>
    <t>com.lnf.questionnaire.datamodel.formatter.ExcerciseFormatter</t>
  </si>
  <si>
    <t>7000</t>
  </si>
  <si>
    <t>90</t>
  </si>
  <si>
    <t>com.lnf.questionnaire.datamodel.formatter.WaterFormatter</t>
  </si>
  <si>
    <t>8000</t>
  </si>
  <si>
    <t>9000</t>
  </si>
  <si>
    <t>4</t>
  </si>
  <si>
    <t>110</t>
  </si>
  <si>
    <t>10000</t>
  </si>
  <si>
    <t>120</t>
  </si>
  <si>
    <t>11000</t>
  </si>
  <si>
    <t>130</t>
  </si>
  <si>
    <t>12000</t>
  </si>
  <si>
    <t>140</t>
  </si>
  <si>
    <t>13000</t>
  </si>
  <si>
    <t>150</t>
  </si>
  <si>
    <t>14000</t>
  </si>
  <si>
    <t>160</t>
  </si>
  <si>
    <t>15000</t>
  </si>
  <si>
    <t>3</t>
  </si>
  <si>
    <t>170</t>
  </si>
  <si>
    <t>com.lnf.questionnaire.datamodel.formatter.FastingFormatter</t>
  </si>
  <si>
    <t>16000</t>
  </si>
  <si>
    <t>180</t>
  </si>
  <si>
    <t>com.lnf.questionnaire.datamodel.formatter.Phq9Formatter</t>
  </si>
  <si>
    <t>17000</t>
  </si>
  <si>
    <t>190</t>
  </si>
  <si>
    <t>com.lnf.questionnaire.datamodel.formatter.BloodPressureFormatter</t>
  </si>
  <si>
    <t>blood-pressure</t>
  </si>
  <si>
    <t>18000</t>
  </si>
  <si>
    <t>com.lnf.questionnaire.datamodel.formatter.BloodGlucoseFormatter</t>
  </si>
  <si>
    <t>blood-glucose</t>
  </si>
  <si>
    <t>19000</t>
  </si>
  <si>
    <t>210</t>
  </si>
  <si>
    <t>com.lnf.questionnaire.datamodel.formatter.PainFormatter</t>
  </si>
  <si>
    <t>INSERT INTO RESPONSE (ID, NAME, QUESTION_ID, QUESTION, RNK, SEQUENCE, UPDATED_BY) VALUES</t>
  </si>
  <si>
    <t>INSERT INTO QUESTION_RELATION (QUESTION_ID, PARENT_QUESTION_ID, PARENT_RESPONSE_ID) VALUES</t>
  </si>
  <si>
    <t>INSERT INTO BMI (GENDER, AGE, UNDER_WEIGHT, NORMAL_WEIGHT, OVER_WEIGHT) VALUES</t>
  </si>
  <si>
    <t>INSERT INTO WAIST_HIP (GENDER, EXCELLENT, GOOD, AVERAGE) VALUES</t>
  </si>
  <si>
    <t>INSERT INTO SLEEP (AGE, HEALTHY_SLEEP, AVERAGE_SLEEP, UNDER_SLEEP) VALUES</t>
  </si>
  <si>
    <t>INSERT INTO QUESTIONNAIRE_LANGUAGE (NAME, HINDI, TELUGU, TAMIL, BENGALI, MARATHI, UPDATED_BY) VALUES</t>
  </si>
  <si>
    <t>Moderately Severe</t>
  </si>
  <si>
    <t>मध्यम रूप से गंभीर</t>
  </si>
  <si>
    <t>మధ్యస్థంగా తీవ్రమైనది</t>
  </si>
  <si>
    <t>மிதமான கடுமையான</t>
  </si>
  <si>
    <t>মাঝারি মাত্রার তীব্র</t>
  </si>
  <si>
    <t>मध्यम गंभीर</t>
  </si>
  <si>
    <t>INSERT INTO TEST_BUNDLE (ID, NAME, FREQUENCY, UPDATED_BY) VALUES</t>
  </si>
  <si>
    <t>INSERT INTO TEST_DETAIL (ID, NAME, BUNDLE_ID, TYP, UNIT_OF_MEASURE, WEIGHT, INTERPRETTER, UPDATED_BY) VALUES</t>
  </si>
  <si>
    <t>INSERT INTO TEST_RESULT (ID, NAME, TEST_ID, TEST_NAME, QUESTION_IDS, QUESTIONS, RESPONSES, LBOUND, UBOUND, POSITIVE, RNK, UPDATED_BY) VALUES</t>
  </si>
  <si>
    <t>INSERT INTO HEALTH_GROUP (ID, NAME, EVALUATION_METHOD, PARENT_GROUP_ID, FREQUENCY, SEQUENCE, UPDATED_BY) VALUES</t>
  </si>
  <si>
    <t>Setup</t>
  </si>
  <si>
    <t>Patient App</t>
  </si>
  <si>
    <t>বছরে দুবার</t>
  </si>
  <si>
    <t xml:space="preserve">update TEST_RESULT set LBOUND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</si>
</sst>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4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Arial"/>
      <family val="2"/>
    </font>
    <font>
      <sz val="8"/>
      <color rgb="FF202124"/>
      <name val="Arial"/>
      <family val="2"/>
    </font>
    <font>
      <sz val="8"/>
      <color theme="1"/>
      <name val="Arial"/>
      <family val="2"/>
    </font>
    <font>
      <b/>
      <sz val="11"/>
      <color theme="0"/>
      <name val="Arial"/>
      <family val="2"/>
    </font>
    <font>
      <sz val="11"/>
      <color rgb="FF555555"/>
      <name val="Calibri"/>
      <family val="2"/>
    </font>
    <font>
      <sz val="11"/>
      <color theme="1"/>
      <name val="Nirmala UI"/>
      <family val="2"/>
    </font>
    <font>
      <u/>
      <sz val="10"/>
      <color rgb="FF000000"/>
      <name val="courier"/>
    </font>
    <font>
      <sz val="10"/>
      <color theme="1"/>
      <name val="courier"/>
    </font>
    <font>
      <sz val="11"/>
      <color rgb="FF0070C0"/>
      <name val="Courier New"/>
      <family val="3"/>
    </font>
    <font>
      <sz val="10"/>
      <color rgb="FF0000C0"/>
      <name val="Consolas"/>
      <family val="3"/>
    </font>
    <font>
      <sz val="11"/>
      <color rgb="FF000000"/>
      <name val="Calibri"/>
      <family val="2"/>
    </font>
    <font>
      <sz val="8"/>
      <name val="Calibri"/>
      <family val="2"/>
      <scheme val="minor"/>
    </font>
    <font>
      <sz val="11"/>
      <color rgb="FF0070C0"/>
      <name val="Calibri"/>
      <family val="2"/>
      <scheme val="minor"/>
    </font>
    <font>
      <b/>
      <sz val="14"/>
      <color theme="1"/>
      <name val="Calibri"/>
      <family val="2"/>
      <scheme val="minor"/>
    </font>
    <font>
      <b/>
      <sz val="12"/>
      <color theme="1"/>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i/>
      <sz val="10"/>
      <color rgb="FF0070C0"/>
      <name val="Calibri"/>
      <family val="2"/>
      <scheme val="minor"/>
    </font>
    <font>
      <b/>
      <sz val="20"/>
      <color rgb="FFFF0000"/>
      <name val="Calibri"/>
      <family val="2"/>
      <scheme val="minor"/>
    </font>
    <font>
      <sz val="10"/>
      <color rgb="FFFF0000"/>
      <name val="Calibri"/>
      <family val="2"/>
      <scheme val="minor"/>
    </font>
    <font>
      <sz val="12"/>
      <color theme="1"/>
      <name val="Calibri"/>
      <family val="2"/>
      <scheme val="minor"/>
    </font>
    <font>
      <u/>
      <sz val="11"/>
      <color theme="10"/>
      <name val="Calibri"/>
      <family val="2"/>
      <scheme val="minor"/>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rgb="FF00B050"/>
        <bgColor indexed="64"/>
      </patternFill>
    </fill>
    <fill>
      <patternFill patternType="solid">
        <fgColor rgb="FFFFFF00"/>
        <bgColor indexed="64"/>
      </patternFill>
    </fill>
    <fill>
      <patternFill patternType="solid">
        <fgColor theme="7"/>
        <bgColor indexed="64"/>
      </patternFill>
    </fill>
    <fill>
      <patternFill patternType="solid">
        <fgColor rgb="FFFF9900"/>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FFFF"/>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0.14996795556505021"/>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rgb="FF000000"/>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theme="9" tint="-0.24994659260841701"/>
      </left>
      <right style="medium">
        <color theme="0"/>
      </right>
      <top style="medium">
        <color theme="9" tint="-0.24994659260841701"/>
      </top>
      <bottom style="thin">
        <color indexed="64"/>
      </bottom>
      <diagonal/>
    </border>
    <border>
      <left style="medium">
        <color theme="0"/>
      </left>
      <right style="medium">
        <color theme="0"/>
      </right>
      <top style="medium">
        <color theme="9" tint="-0.24994659260841701"/>
      </top>
      <bottom style="thin">
        <color indexed="64"/>
      </bottom>
      <diagonal/>
    </border>
    <border>
      <left style="medium">
        <color theme="0"/>
      </left>
      <right style="medium">
        <color theme="9" tint="-0.24994659260841701"/>
      </right>
      <top style="medium">
        <color theme="9" tint="-0.24994659260841701"/>
      </top>
      <bottom style="thin">
        <color indexed="64"/>
      </bottom>
      <diagonal/>
    </border>
    <border>
      <left style="medium">
        <color theme="9" tint="-0.24994659260841701"/>
      </left>
      <right style="medium">
        <color indexed="64"/>
      </right>
      <top style="thin">
        <color indexed="64"/>
      </top>
      <bottom style="thin">
        <color indexed="64"/>
      </bottom>
      <diagonal/>
    </border>
    <border>
      <left style="thin">
        <color indexed="64"/>
      </left>
      <right style="medium">
        <color theme="9" tint="-0.24994659260841701"/>
      </right>
      <top style="thin">
        <color indexed="64"/>
      </top>
      <bottom style="thin">
        <color indexed="64"/>
      </bottom>
      <diagonal/>
    </border>
    <border>
      <left style="medium">
        <color theme="9" tint="-0.24994659260841701"/>
      </left>
      <right style="medium">
        <color indexed="64"/>
      </right>
      <top style="thin">
        <color indexed="64"/>
      </top>
      <bottom style="medium">
        <color theme="9" tint="-0.24994659260841701"/>
      </bottom>
      <diagonal/>
    </border>
    <border>
      <left style="medium">
        <color indexed="64"/>
      </left>
      <right style="medium">
        <color indexed="64"/>
      </right>
      <top style="thin">
        <color indexed="64"/>
      </top>
      <bottom style="medium">
        <color theme="9" tint="-0.24994659260841701"/>
      </bottom>
      <diagonal/>
    </border>
    <border>
      <left/>
      <right style="thin">
        <color indexed="64"/>
      </right>
      <top style="thin">
        <color indexed="64"/>
      </top>
      <bottom style="medium">
        <color theme="9" tint="-0.24994659260841701"/>
      </bottom>
      <diagonal/>
    </border>
    <border>
      <left style="thin">
        <color indexed="64"/>
      </left>
      <right style="thin">
        <color indexed="64"/>
      </right>
      <top style="thin">
        <color indexed="64"/>
      </top>
      <bottom style="medium">
        <color theme="9" tint="-0.24994659260841701"/>
      </bottom>
      <diagonal/>
    </border>
    <border>
      <left style="thin">
        <color indexed="64"/>
      </left>
      <right style="medium">
        <color theme="9" tint="-0.24994659260841701"/>
      </right>
      <top style="thin">
        <color indexed="64"/>
      </top>
      <bottom style="medium">
        <color theme="9" tint="-0.24994659260841701"/>
      </bottom>
      <diagonal/>
    </border>
  </borders>
  <cellStyleXfs count="43">
    <xf numFmtId="0" fontId="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11" fillId="6" borderId="4" applyNumberFormat="0" applyAlignment="0" applyProtection="0"/>
    <xf numFmtId="0" fontId="13" fillId="7" borderId="7" applyNumberFormat="0" applyAlignment="0" applyProtection="0"/>
    <xf numFmtId="0" fontId="15" fillId="0" borderId="0" applyNumberForma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9" fillId="5" borderId="4" applyNumberFormat="0" applyAlignment="0" applyProtection="0"/>
    <xf numFmtId="0" fontId="12" fillId="0" borderId="6" applyNumberFormat="0" applyFill="0" applyAlignment="0" applyProtection="0"/>
    <xf numFmtId="0" fontId="8" fillId="4" borderId="0" applyNumberFormat="0" applyBorder="0" applyAlignment="0" applyProtection="0"/>
    <xf numFmtId="0" fontId="1" fillId="8" borderId="8" applyNumberFormat="0" applyFont="0" applyAlignment="0" applyProtection="0"/>
    <xf numFmtId="0" fontId="10" fillId="6" borderId="5" applyNumberFormat="0" applyAlignment="0" applyProtection="0"/>
    <xf numFmtId="0" fontId="2" fillId="0" borderId="0" applyNumberFormat="0" applyFill="0" applyBorder="0" applyAlignment="0" applyProtection="0"/>
    <xf numFmtId="0" fontId="16" fillId="0" borderId="9" applyNumberFormat="0" applyFill="0" applyAlignment="0" applyProtection="0"/>
    <xf numFmtId="0" fontId="14" fillId="0" borderId="0" applyNumberFormat="0" applyFill="0" applyBorder="0" applyAlignment="0" applyProtection="0"/>
    <xf numFmtId="0" fontId="40" fillId="0" borderId="0" applyNumberFormat="0" applyFill="0" applyBorder="0" applyAlignment="0" applyProtection="0"/>
  </cellStyleXfs>
  <cellXfs count="118">
    <xf numFmtId="0" fontId="0" fillId="0" borderId="0" xfId="0"/>
    <xf numFmtId="0" fontId="0" fillId="0" borderId="0" xfId="0" applyAlignment="1">
      <alignment horizontal="center"/>
    </xf>
    <xf numFmtId="0" fontId="18" fillId="34" borderId="10" xfId="0" applyFont="1" applyFill="1" applyBorder="1" applyAlignment="1">
      <alignment horizontal="center" vertical="center"/>
    </xf>
    <xf numFmtId="0" fontId="18" fillId="35" borderId="10" xfId="0" applyFont="1" applyFill="1" applyBorder="1" applyAlignment="1">
      <alignment horizontal="center" vertical="center"/>
    </xf>
    <xf numFmtId="0" fontId="18" fillId="36" borderId="10" xfId="0" applyFont="1" applyFill="1" applyBorder="1" applyAlignment="1">
      <alignment horizontal="center" vertical="center"/>
    </xf>
    <xf numFmtId="0" fontId="18" fillId="37" borderId="10" xfId="0" applyFont="1" applyFill="1" applyBorder="1" applyAlignment="1">
      <alignment horizontal="center" vertical="center"/>
    </xf>
    <xf numFmtId="0" fontId="18" fillId="38" borderId="10" xfId="0" applyFont="1" applyFill="1" applyBorder="1" applyAlignment="1">
      <alignment horizontal="center" vertical="center"/>
    </xf>
    <xf numFmtId="0" fontId="18" fillId="34" borderId="11" xfId="0" applyFont="1" applyFill="1" applyBorder="1" applyAlignment="1">
      <alignment horizontal="center" vertical="center"/>
    </xf>
    <xf numFmtId="0" fontId="18" fillId="35" borderId="11" xfId="0" applyFont="1" applyFill="1" applyBorder="1" applyAlignment="1">
      <alignment horizontal="center" vertical="center"/>
    </xf>
    <xf numFmtId="0" fontId="18" fillId="40" borderId="11" xfId="0" applyFont="1" applyFill="1" applyBorder="1" applyAlignment="1">
      <alignment horizontal="center" vertical="center"/>
    </xf>
    <xf numFmtId="0" fontId="18" fillId="37" borderId="11" xfId="0" applyFont="1" applyFill="1" applyBorder="1" applyAlignment="1">
      <alignment horizontal="center" vertical="center"/>
    </xf>
    <xf numFmtId="0" fontId="18" fillId="38" borderId="11" xfId="0" applyFont="1" applyFill="1" applyBorder="1" applyAlignment="1">
      <alignment horizontal="center" vertical="center"/>
    </xf>
    <xf numFmtId="0" fontId="18" fillId="41" borderId="11" xfId="0" applyFont="1" applyFill="1" applyBorder="1" applyAlignment="1">
      <alignment vertical="center"/>
    </xf>
    <xf numFmtId="0" fontId="18" fillId="41" borderId="15" xfId="0" applyFont="1" applyFill="1" applyBorder="1" applyAlignment="1">
      <alignment vertical="center"/>
    </xf>
    <xf numFmtId="0" fontId="18" fillId="41" borderId="10" xfId="0" applyFont="1" applyFill="1" applyBorder="1" applyAlignment="1">
      <alignment vertical="center"/>
    </xf>
    <xf numFmtId="0" fontId="20" fillId="39" borderId="11" xfId="0" applyFont="1" applyFill="1" applyBorder="1" applyAlignment="1">
      <alignment horizontal="center"/>
    </xf>
    <xf numFmtId="0" fontId="20" fillId="33" borderId="11" xfId="0" applyFont="1" applyFill="1" applyBorder="1" applyAlignment="1">
      <alignment horizontal="center"/>
    </xf>
    <xf numFmtId="16" fontId="20" fillId="33" borderId="11" xfId="0" quotePrefix="1" applyNumberFormat="1" applyFont="1" applyFill="1" applyBorder="1" applyAlignment="1">
      <alignment horizontal="center"/>
    </xf>
    <xf numFmtId="0" fontId="20" fillId="39" borderId="11" xfId="0" quotePrefix="1" applyFont="1" applyFill="1" applyBorder="1" applyAlignment="1">
      <alignment horizontal="center"/>
    </xf>
    <xf numFmtId="0" fontId="20" fillId="39" borderId="18" xfId="0" applyFont="1" applyFill="1" applyBorder="1" applyAlignment="1">
      <alignment horizontal="center"/>
    </xf>
    <xf numFmtId="0" fontId="20" fillId="33" borderId="18" xfId="0" applyFont="1" applyFill="1" applyBorder="1" applyAlignment="1">
      <alignment horizontal="center"/>
    </xf>
    <xf numFmtId="0" fontId="21" fillId="42" borderId="20" xfId="0" applyFont="1" applyFill="1" applyBorder="1" applyAlignment="1">
      <alignment horizontal="center" vertical="center"/>
    </xf>
    <xf numFmtId="0" fontId="21" fillId="42" borderId="21" xfId="0" applyFont="1" applyFill="1" applyBorder="1" applyAlignment="1">
      <alignment horizontal="center" vertical="center" wrapText="1"/>
    </xf>
    <xf numFmtId="0" fontId="21" fillId="42" borderId="21" xfId="0" applyFont="1" applyFill="1" applyBorder="1" applyAlignment="1">
      <alignment horizontal="center" vertical="center"/>
    </xf>
    <xf numFmtId="0" fontId="20" fillId="39" borderId="24" xfId="0" applyFont="1" applyFill="1" applyBorder="1" applyAlignment="1">
      <alignment horizontal="center"/>
    </xf>
    <xf numFmtId="0" fontId="20" fillId="33" borderId="24" xfId="0" applyFont="1" applyFill="1" applyBorder="1" applyAlignment="1">
      <alignment horizontal="center"/>
    </xf>
    <xf numFmtId="0" fontId="20" fillId="39" borderId="27" xfId="0" applyFont="1" applyFill="1" applyBorder="1" applyAlignment="1">
      <alignment horizontal="center"/>
    </xf>
    <xf numFmtId="0" fontId="20" fillId="39" borderId="28" xfId="0" applyFont="1" applyFill="1" applyBorder="1" applyAlignment="1">
      <alignment horizontal="center"/>
    </xf>
    <xf numFmtId="0" fontId="20" fillId="39" borderId="29" xfId="0" applyFont="1" applyFill="1" applyBorder="1" applyAlignment="1">
      <alignment horizontal="center"/>
    </xf>
    <xf numFmtId="0" fontId="0" fillId="35" borderId="0" xfId="0" applyFill="1"/>
    <xf numFmtId="1" fontId="16" fillId="35" borderId="0" xfId="0" applyNumberFormat="1" applyFont="1" applyFill="1"/>
    <xf numFmtId="0" fontId="16" fillId="43" borderId="0" xfId="0" applyFont="1" applyFill="1" applyAlignment="1">
      <alignment horizontal="center"/>
    </xf>
    <xf numFmtId="0" fontId="0" fillId="43" borderId="0" xfId="0" applyFill="1"/>
    <xf numFmtId="0" fontId="16" fillId="43" borderId="0" xfId="0" applyFont="1" applyFill="1"/>
    <xf numFmtId="164" fontId="0" fillId="0" borderId="0" xfId="0" applyNumberFormat="1"/>
    <xf numFmtId="0" fontId="0" fillId="0" borderId="0" xfId="0" quotePrefix="1"/>
    <xf numFmtId="14" fontId="0" fillId="0" borderId="0" xfId="0" applyNumberFormat="1"/>
    <xf numFmtId="165" fontId="22" fillId="44" borderId="11" xfId="0" applyNumberFormat="1" applyFont="1" applyFill="1" applyBorder="1" applyAlignment="1">
      <alignment vertical="center" wrapText="1"/>
    </xf>
    <xf numFmtId="165" fontId="22" fillId="45" borderId="11" xfId="0" applyNumberFormat="1" applyFont="1" applyFill="1" applyBorder="1" applyAlignment="1">
      <alignment vertical="center" wrapText="1"/>
    </xf>
    <xf numFmtId="0" fontId="0" fillId="43" borderId="11" xfId="0" applyFill="1" applyBorder="1"/>
    <xf numFmtId="2" fontId="22" fillId="45" borderId="11" xfId="0" applyNumberFormat="1" applyFont="1" applyFill="1" applyBorder="1" applyAlignment="1">
      <alignment vertical="center" wrapText="1"/>
    </xf>
    <xf numFmtId="2" fontId="22" fillId="44" borderId="11" xfId="0" applyNumberFormat="1" applyFont="1" applyFill="1" applyBorder="1" applyAlignment="1">
      <alignment vertical="center" wrapText="1"/>
    </xf>
    <xf numFmtId="0" fontId="23" fillId="0" borderId="0" xfId="0" applyFont="1" applyAlignment="1">
      <alignment vertical="center"/>
    </xf>
    <xf numFmtId="0" fontId="0" fillId="0" borderId="0" xfId="0" applyAlignment="1">
      <alignment wrapText="1"/>
    </xf>
    <xf numFmtId="0" fontId="25" fillId="0" borderId="0" xfId="0" applyFont="1" applyAlignment="1">
      <alignment vertical="center" wrapText="1"/>
    </xf>
    <xf numFmtId="0" fontId="16" fillId="43" borderId="0" xfId="0" applyFont="1" applyFill="1" applyAlignment="1">
      <alignment vertical="center"/>
    </xf>
    <xf numFmtId="0" fontId="0" fillId="43" borderId="0" xfId="0" applyFill="1" applyAlignment="1">
      <alignment horizontal="center"/>
    </xf>
    <xf numFmtId="0" fontId="24" fillId="43" borderId="0" xfId="0" applyFont="1" applyFill="1" applyAlignment="1">
      <alignment vertical="center" wrapText="1"/>
    </xf>
    <xf numFmtId="0" fontId="16" fillId="43" borderId="0" xfId="0" applyFont="1" applyFill="1" applyAlignment="1">
      <alignment horizontal="center" vertical="center"/>
    </xf>
    <xf numFmtId="0" fontId="26" fillId="0" borderId="0" xfId="0" applyFont="1"/>
    <xf numFmtId="0" fontId="27" fillId="0" borderId="0" xfId="0" applyFont="1"/>
    <xf numFmtId="0" fontId="0" fillId="40" borderId="0" xfId="0" applyFill="1"/>
    <xf numFmtId="0" fontId="0" fillId="0" borderId="0" xfId="0" applyAlignment="1">
      <alignment horizontal="left"/>
    </xf>
    <xf numFmtId="0" fontId="0" fillId="46" borderId="0" xfId="0" applyFill="1" applyAlignment="1">
      <alignment horizontal="left"/>
    </xf>
    <xf numFmtId="0" fontId="0" fillId="47" borderId="0" xfId="0" applyFill="1"/>
    <xf numFmtId="0" fontId="0" fillId="48" borderId="0" xfId="0" applyFill="1"/>
    <xf numFmtId="0" fontId="31" fillId="46" borderId="0" xfId="0" applyFont="1" applyFill="1" applyAlignment="1">
      <alignment horizontal="left"/>
    </xf>
    <xf numFmtId="0" fontId="32" fillId="47" borderId="0" xfId="0" applyFont="1" applyFill="1"/>
    <xf numFmtId="0" fontId="32" fillId="0" borderId="0" xfId="0" applyFont="1"/>
    <xf numFmtId="0" fontId="32" fillId="46" borderId="0" xfId="0" applyFont="1" applyFill="1" applyAlignment="1">
      <alignment horizontal="left"/>
    </xf>
    <xf numFmtId="0" fontId="32" fillId="48" borderId="0" xfId="0" applyFont="1" applyFill="1"/>
    <xf numFmtId="0" fontId="33" fillId="0" borderId="0" xfId="0" applyFont="1"/>
    <xf numFmtId="0" fontId="33" fillId="46" borderId="0" xfId="0" applyFont="1" applyFill="1" applyAlignment="1">
      <alignment horizontal="left"/>
    </xf>
    <xf numFmtId="0" fontId="33" fillId="47" borderId="0" xfId="0" quotePrefix="1" applyFont="1" applyFill="1" applyAlignment="1">
      <alignment horizontal="right"/>
    </xf>
    <xf numFmtId="0" fontId="33" fillId="47" borderId="0" xfId="0" applyFont="1" applyFill="1"/>
    <xf numFmtId="0" fontId="33" fillId="48" borderId="0" xfId="0" applyFont="1" applyFill="1"/>
    <xf numFmtId="0" fontId="34" fillId="50" borderId="0" xfId="0" applyFont="1" applyFill="1"/>
    <xf numFmtId="0" fontId="33" fillId="50" borderId="0" xfId="0" applyFont="1" applyFill="1"/>
    <xf numFmtId="0" fontId="34" fillId="50" borderId="0" xfId="0" quotePrefix="1" applyFont="1" applyFill="1"/>
    <xf numFmtId="0" fontId="36" fillId="50" borderId="0" xfId="0" applyFont="1" applyFill="1"/>
    <xf numFmtId="0" fontId="30" fillId="48" borderId="0" xfId="0" applyFont="1" applyFill="1"/>
    <xf numFmtId="0" fontId="33" fillId="48" borderId="0" xfId="0" quotePrefix="1" applyFont="1" applyFill="1"/>
    <xf numFmtId="0" fontId="34" fillId="47" borderId="0" xfId="0" applyFont="1" applyFill="1"/>
    <xf numFmtId="0" fontId="34" fillId="48" borderId="0" xfId="0" applyFont="1" applyFill="1"/>
    <xf numFmtId="0" fontId="38" fillId="50" borderId="0" xfId="0" applyFont="1" applyFill="1"/>
    <xf numFmtId="0" fontId="18" fillId="36" borderId="11" xfId="0" applyFont="1" applyFill="1" applyBorder="1" applyAlignment="1">
      <alignment horizontal="center" vertical="center"/>
    </xf>
    <xf numFmtId="0" fontId="16" fillId="43" borderId="11" xfId="0" applyFont="1" applyFill="1" applyBorder="1" applyAlignment="1">
      <alignment horizontal="center" vertical="center"/>
    </xf>
    <xf numFmtId="0" fontId="0" fillId="0" borderId="0" xfId="0" applyAlignment="1">
      <alignment vertical="center"/>
    </xf>
    <xf numFmtId="0" fontId="0" fillId="39" borderId="0" xfId="0" applyFill="1"/>
    <xf numFmtId="0" fontId="0" fillId="39" borderId="0" xfId="0" quotePrefix="1" applyFill="1"/>
    <xf numFmtId="0" fontId="0" fillId="33" borderId="0" xfId="0" applyFill="1"/>
    <xf numFmtId="0" fontId="0" fillId="33" borderId="0" xfId="0" quotePrefix="1" applyFill="1"/>
    <xf numFmtId="0" fontId="39" fillId="39" borderId="0" xfId="0" applyFont="1" applyFill="1"/>
    <xf numFmtId="14" fontId="0" fillId="0" borderId="0" xfId="0" quotePrefix="1" applyNumberFormat="1"/>
    <xf numFmtId="0" fontId="40" fillId="0" borderId="0" xfId="42"/>
    <xf numFmtId="0" fontId="39" fillId="0" borderId="0" xfId="0" applyFont="1"/>
    <xf numFmtId="0" fontId="19" fillId="39" borderId="23" xfId="0" applyFont="1" applyFill="1" applyBorder="1" applyAlignment="1">
      <alignment vertical="center"/>
    </xf>
    <xf numFmtId="0" fontId="0" fillId="39" borderId="25" xfId="0" applyFill="1" applyBorder="1" applyAlignment="1">
      <alignment vertical="center"/>
    </xf>
    <xf numFmtId="0" fontId="21" fillId="42" borderId="21" xfId="0" applyFont="1" applyFill="1" applyBorder="1" applyAlignment="1">
      <alignment horizontal="center" vertical="center"/>
    </xf>
    <xf numFmtId="0" fontId="21" fillId="42" borderId="22" xfId="0" applyFont="1" applyFill="1" applyBorder="1" applyAlignment="1">
      <alignment horizontal="center" vertical="center"/>
    </xf>
    <xf numFmtId="0" fontId="0" fillId="39" borderId="23" xfId="0" applyFill="1" applyBorder="1" applyAlignment="1">
      <alignment vertical="center"/>
    </xf>
    <xf numFmtId="0" fontId="19" fillId="33" borderId="23" xfId="0" applyFont="1" applyFill="1" applyBorder="1" applyAlignment="1">
      <alignment vertical="center"/>
    </xf>
    <xf numFmtId="0" fontId="0" fillId="33" borderId="23" xfId="0" applyFill="1" applyBorder="1" applyAlignment="1">
      <alignment vertical="center"/>
    </xf>
    <xf numFmtId="0" fontId="20" fillId="39" borderId="19" xfId="0" applyFont="1" applyFill="1" applyBorder="1" applyAlignment="1">
      <alignment vertical="center" wrapText="1"/>
    </xf>
    <xf numFmtId="0" fontId="0" fillId="0" borderId="19" xfId="0" applyBorder="1" applyAlignment="1">
      <alignment vertical="center" wrapText="1"/>
    </xf>
    <xf numFmtId="0" fontId="20" fillId="33" borderId="19" xfId="0" applyFont="1" applyFill="1" applyBorder="1" applyAlignment="1">
      <alignment vertical="center" wrapText="1"/>
    </xf>
    <xf numFmtId="0" fontId="0" fillId="0" borderId="26" xfId="0" applyBorder="1" applyAlignment="1">
      <alignment vertical="center" wrapText="1"/>
    </xf>
    <xf numFmtId="0" fontId="20" fillId="39" borderId="19" xfId="0" applyFont="1" applyFill="1" applyBorder="1" applyAlignment="1">
      <alignment horizontal="center" vertical="center" wrapText="1"/>
    </xf>
    <xf numFmtId="0" fontId="0" fillId="0" borderId="19" xfId="0" applyBorder="1" applyAlignment="1">
      <alignment horizontal="center" vertical="center" wrapText="1"/>
    </xf>
    <xf numFmtId="0" fontId="20" fillId="33" borderId="19" xfId="0" applyFont="1" applyFill="1" applyBorder="1" applyAlignment="1">
      <alignment horizontal="center" vertical="center" wrapText="1"/>
    </xf>
    <xf numFmtId="0" fontId="0" fillId="0" borderId="26" xfId="0" applyBorder="1" applyAlignment="1">
      <alignment horizontal="center" vertical="center" wrapText="1"/>
    </xf>
    <xf numFmtId="0" fontId="18" fillId="41" borderId="11" xfId="0" applyFont="1" applyFill="1" applyBorder="1" applyAlignment="1">
      <alignment horizontal="center" vertical="center"/>
    </xf>
    <xf numFmtId="0" fontId="18" fillId="34" borderId="11" xfId="0" applyFont="1" applyFill="1" applyBorder="1" applyAlignment="1">
      <alignment horizontal="center" vertical="center"/>
    </xf>
    <xf numFmtId="0" fontId="18" fillId="35" borderId="11" xfId="0" applyFont="1" applyFill="1" applyBorder="1" applyAlignment="1">
      <alignment horizontal="center" vertical="center"/>
    </xf>
    <xf numFmtId="0" fontId="18" fillId="40" borderId="11" xfId="0" applyFont="1" applyFill="1" applyBorder="1" applyAlignment="1">
      <alignment horizontal="center" vertical="center"/>
    </xf>
    <xf numFmtId="0" fontId="18" fillId="37" borderId="11" xfId="0" applyFont="1" applyFill="1" applyBorder="1" applyAlignment="1">
      <alignment horizontal="center" vertical="center"/>
    </xf>
    <xf numFmtId="0" fontId="18" fillId="38" borderId="11" xfId="0" applyFont="1" applyFill="1" applyBorder="1" applyAlignment="1">
      <alignment horizontal="center" vertical="center"/>
    </xf>
    <xf numFmtId="0" fontId="18" fillId="41" borderId="12" xfId="0" applyFont="1" applyFill="1" applyBorder="1" applyAlignment="1">
      <alignment horizontal="center" vertical="center"/>
    </xf>
    <xf numFmtId="0" fontId="18" fillId="41" borderId="13" xfId="0" applyFont="1" applyFill="1" applyBorder="1" applyAlignment="1">
      <alignment horizontal="center" vertical="center"/>
    </xf>
    <xf numFmtId="0" fontId="18" fillId="41" borderId="14" xfId="0" applyFont="1" applyFill="1" applyBorder="1" applyAlignment="1">
      <alignment horizontal="center" vertical="center"/>
    </xf>
    <xf numFmtId="0" fontId="18" fillId="41" borderId="16" xfId="0" applyFont="1" applyFill="1" applyBorder="1" applyAlignment="1">
      <alignment vertical="center"/>
    </xf>
    <xf numFmtId="0" fontId="18" fillId="41" borderId="15" xfId="0" applyFont="1" applyFill="1" applyBorder="1" applyAlignment="1">
      <alignment vertical="center"/>
    </xf>
    <xf numFmtId="0" fontId="18" fillId="41" borderId="17" xfId="0" applyFont="1" applyFill="1" applyBorder="1" applyAlignment="1">
      <alignment horizontal="center" vertical="center"/>
    </xf>
    <xf numFmtId="0" fontId="37" fillId="49" borderId="0" xfId="0" applyFont="1" applyFill="1" applyAlignment="1">
      <alignment horizontal="center"/>
    </xf>
    <xf numFmtId="0" fontId="0" fillId="0" borderId="0" xfId="0" applyAlignment="1">
      <alignment horizontal="left" vertical="center" wrapText="1"/>
    </xf>
    <xf numFmtId="0" fontId="0" fillId="0" borderId="0" xfId="0" applyAlignment="1">
      <alignment horizontal="left" vertical="center"/>
    </xf>
    <xf numFmtId="0" fontId="25" fillId="0" borderId="0" xfId="0" applyFont="1" applyAlignment="1">
      <alignment vertical="center" wrapText="1"/>
    </xf>
    <xf numFmtId="0" fontId="16" fillId="43" borderId="0" xfId="0" applyFont="1" applyFill="1" applyAlignment="1">
      <alignment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2" builtinId="8"/>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1022350</xdr:colOff>
          <xdr:row>0</xdr:row>
          <xdr:rowOff>63500</xdr:rowOff>
        </xdr:from>
        <xdr:to>
          <xdr:col>4</xdr:col>
          <xdr:colOff>965200</xdr:colOff>
          <xdr:row>0</xdr:row>
          <xdr:rowOff>622300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1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Generate Code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ing\LNF\ML_Data.xlsx" TargetMode="External"/><Relationship Id="rId1" Type="http://schemas.openxmlformats.org/officeDocument/2006/relationships/externalLinkPath" Target="ML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set"/>
      <sheetName val="LOV"/>
      <sheetName val="BP Reference Range"/>
      <sheetName val="Glucose Reference Range"/>
    </sheetNames>
    <sheetDataSet>
      <sheetData sheetId="0"/>
      <sheetData sheetId="1">
        <row r="2">
          <cell r="B2" t="str">
            <v>0 - 15 Minutes</v>
          </cell>
          <cell r="C2" t="str">
            <v>Yes</v>
          </cell>
          <cell r="D2" t="str">
            <v>3 - 4 Hours</v>
          </cell>
          <cell r="E2" t="str">
            <v>&lt; 5</v>
          </cell>
          <cell r="F2" t="str">
            <v>0 - 4 Cup</v>
          </cell>
          <cell r="G2" t="str">
            <v>Normal</v>
          </cell>
          <cell r="K2" t="str">
            <v>Male</v>
          </cell>
          <cell r="L2" t="str">
            <v>&lt;16</v>
          </cell>
          <cell r="M2" t="str">
            <v>&lt;0.75</v>
          </cell>
        </row>
        <row r="3">
          <cell r="B3" t="str">
            <v>15 - 30 Min</v>
          </cell>
          <cell r="C3" t="str">
            <v>No</v>
          </cell>
          <cell r="D3" t="str">
            <v>5 - 7 Hours</v>
          </cell>
          <cell r="E3" t="str">
            <v>5 to 10</v>
          </cell>
          <cell r="F3" t="str">
            <v>5 - 6 Cup</v>
          </cell>
          <cell r="G3" t="str">
            <v>Elevated</v>
          </cell>
          <cell r="K3" t="str">
            <v>Female</v>
          </cell>
          <cell r="L3" t="str">
            <v>16-24</v>
          </cell>
          <cell r="M3" t="str">
            <v>0.75-0.85</v>
          </cell>
        </row>
        <row r="4">
          <cell r="B4" t="str">
            <v>30 + Min</v>
          </cell>
          <cell r="D4" t="str">
            <v>7 - 9 Hours</v>
          </cell>
          <cell r="E4" t="str">
            <v>&gt; 10</v>
          </cell>
          <cell r="F4" t="str">
            <v>7 - 8 Cup</v>
          </cell>
          <cell r="G4" t="str">
            <v>Stage 1</v>
          </cell>
          <cell r="L4" t="str">
            <v>24-30</v>
          </cell>
          <cell r="M4" t="str">
            <v>0.85-0.9</v>
          </cell>
        </row>
        <row r="5">
          <cell r="G5" t="str">
            <v>Stage 2</v>
          </cell>
          <cell r="L5" t="str">
            <v>30-35</v>
          </cell>
          <cell r="M5" t="str">
            <v>&gt;0.9</v>
          </cell>
        </row>
        <row r="6">
          <cell r="G6" t="str">
            <v>Crisis</v>
          </cell>
          <cell r="L6" t="str">
            <v>&gt;35</v>
          </cell>
        </row>
        <row r="7">
          <cell r="G7" t="str">
            <v>Hypo Stage 1</v>
          </cell>
        </row>
        <row r="8">
          <cell r="G8" t="str">
            <v>Hypo Crisis</v>
          </cell>
        </row>
      </sheetData>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Raminder Ahlawat" id="{BE741B17-8F62-4DF7-B853-739D9F123237}" userId="S::rahlawat@cognitus.com::cb67ac63-50f7-4bf2-a503-d1a4d14d856d" providerId="AD"/>
  <person displayName="Raminder Ahlawat" id="{44A2B15C-B0A7-4C44-A2CD-D99A0DEE6134}" userId="S::raminder.ahlawat@philips.com::767ac7a4-aa24-48f7-81d6-164081f6d92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6" dT="2024-04-30T23:44:49.36" personId="{44A2B15C-B0A7-4C44-A2CD-D99A0DEE6134}" id="{18DB71CF-6904-48BA-BB6F-884A4CC6FD6E}">
    <text>Response whether patient has read or not</text>
  </threadedComment>
  <threadedComment ref="B7" dT="2024-04-30T23:45:17.41" personId="{44A2B15C-B0A7-4C44-A2CD-D99A0DEE6134}" id="{5B6004E3-399F-461C-891A-3E837CDA312C}">
    <text>Response whether patient has read or not</text>
  </threadedComment>
</ThreadedComments>
</file>

<file path=xl/threadedComments/threadedComment2.xml><?xml version="1.0" encoding="utf-8"?>
<ThreadedComments xmlns="http://schemas.microsoft.com/office/spreadsheetml/2018/threadedcomments" xmlns:x="http://schemas.openxmlformats.org/spreadsheetml/2006/main">
  <threadedComment ref="E15" dT="2024-05-04T03:50:52.49" personId="{BE741B17-8F62-4DF7-B853-739D9F123237}" id="{C7EACDE1-F761-4F82-BECE-545144E34C40}">
    <text>Derived from BMI (score calculated from Weight recorded in App) and Gender and Age</text>
  </threadedComment>
  <threadedComment ref="E18" dT="2024-05-04T11:44:04.18" personId="{BE741B17-8F62-4DF7-B853-739D9F123237}" id="{9F20F562-8219-42B7-999D-6AD18E20972C}">
    <text>Metabolic panel</text>
  </threadedComment>
  <threadedComment ref="E20" dT="2024-05-04T03:52:54.36" personId="{BE741B17-8F62-4DF7-B853-739D9F123237}" id="{EE2E7304-A79F-429D-906F-CF797E4E427A}">
    <text>Derived from Gender and patient recording on App</text>
  </threadedComment>
  <threadedComment ref="E25" dT="2024-05-04T04:10:52.59" personId="{BE741B17-8F62-4DF7-B853-739D9F123237}" id="{B62B42D1-7F4C-4314-A014-A958B9701A7B}">
    <text>Derived from Age</text>
  </threadedComment>
  <threadedComment ref="E61" dT="2024-05-04T04:12:10.69" personId="{BE741B17-8F62-4DF7-B853-739D9F123237}" id="{1C1D867A-F667-49D1-8383-7F62503C70FB}">
    <text>Derived from PHQ9 Score</text>
  </threadedComment>
</ThreadedComments>
</file>

<file path=xl/worksheets/_rels/sheet6.xml.rels><?xml version="1.0" encoding="UTF-8" standalone="yes"?>
<Relationships xmlns="http://schemas.openxmlformats.org/package/2006/relationships"><Relationship Id="rId1" Type="http://schemas.openxmlformats.org/officeDocument/2006/relationships/hyperlink" Target="mailto:rsahlawat@yahoo.com"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H39"/>
  <sheetViews>
    <sheetView workbookViewId="0">
      <pane xSplit="1" ySplit="1" topLeftCell="B25" activePane="bottomRight" state="frozenSplit"/>
      <selection pane="topRight" activeCell="B1" sqref="B1"/>
      <selection pane="bottomLeft" activeCell="A2" sqref="A2"/>
      <selection pane="bottomRight" activeCell="G29" sqref="G29"/>
    </sheetView>
  </sheetViews>
  <sheetFormatPr defaultRowHeight="14.5" x14ac:dyDescent="0.35"/>
  <cols>
    <col min="1" max="1" width="34.08984375" customWidth="1"/>
    <col min="2" max="2" width="12.453125" customWidth="1"/>
    <col min="3" max="3" width="9.08984375" customWidth="1"/>
    <col min="4" max="8" width="20.6328125" customWidth="1"/>
  </cols>
  <sheetData>
    <row r="1" spans="1:8" ht="34.5" customHeight="1" x14ac:dyDescent="0.35">
      <c r="A1" s="21" t="s">
        <v>106</v>
      </c>
      <c r="B1" s="22" t="s">
        <v>105</v>
      </c>
      <c r="C1" s="23" t="s">
        <v>118</v>
      </c>
      <c r="D1" s="88" t="s">
        <v>119</v>
      </c>
      <c r="E1" s="88"/>
      <c r="F1" s="88"/>
      <c r="G1" s="88"/>
      <c r="H1" s="89"/>
    </row>
    <row r="2" spans="1:8" x14ac:dyDescent="0.35">
      <c r="A2" s="86" t="s">
        <v>51</v>
      </c>
      <c r="B2" s="93" t="s">
        <v>107</v>
      </c>
      <c r="C2" s="97">
        <v>2</v>
      </c>
      <c r="D2" s="19" t="s">
        <v>63</v>
      </c>
      <c r="E2" s="15" t="s">
        <v>60</v>
      </c>
      <c r="F2" s="15" t="s">
        <v>61</v>
      </c>
      <c r="G2" s="15" t="s">
        <v>62</v>
      </c>
      <c r="H2" s="24" t="s">
        <v>68</v>
      </c>
    </row>
    <row r="3" spans="1:8" x14ac:dyDescent="0.35">
      <c r="A3" s="90"/>
      <c r="B3" s="94"/>
      <c r="C3" s="98"/>
      <c r="D3" s="19">
        <v>3</v>
      </c>
      <c r="E3" s="15">
        <v>4</v>
      </c>
      <c r="F3" s="15">
        <v>3</v>
      </c>
      <c r="G3" s="15">
        <v>2</v>
      </c>
      <c r="H3" s="24">
        <v>1</v>
      </c>
    </row>
    <row r="4" spans="1:8" x14ac:dyDescent="0.35">
      <c r="A4" s="91" t="s">
        <v>52</v>
      </c>
      <c r="B4" s="95" t="s">
        <v>107</v>
      </c>
      <c r="C4" s="99">
        <v>2</v>
      </c>
      <c r="D4" s="20" t="s">
        <v>64</v>
      </c>
      <c r="E4" s="16" t="s">
        <v>65</v>
      </c>
      <c r="F4" s="16" t="s">
        <v>66</v>
      </c>
      <c r="G4" s="16" t="s">
        <v>67</v>
      </c>
      <c r="H4" s="25"/>
    </row>
    <row r="5" spans="1:8" x14ac:dyDescent="0.35">
      <c r="A5" s="92"/>
      <c r="B5" s="94"/>
      <c r="C5" s="98"/>
      <c r="D5" s="20">
        <v>4</v>
      </c>
      <c r="E5" s="16">
        <v>3</v>
      </c>
      <c r="F5" s="16">
        <v>2</v>
      </c>
      <c r="G5" s="16">
        <v>1</v>
      </c>
      <c r="H5" s="25"/>
    </row>
    <row r="6" spans="1:8" x14ac:dyDescent="0.35">
      <c r="A6" s="86" t="s">
        <v>53</v>
      </c>
      <c r="B6" s="93" t="s">
        <v>107</v>
      </c>
      <c r="C6" s="97">
        <v>2</v>
      </c>
      <c r="D6" s="19" t="s">
        <v>69</v>
      </c>
      <c r="E6" s="15" t="s">
        <v>71</v>
      </c>
      <c r="F6" s="15" t="s">
        <v>72</v>
      </c>
      <c r="G6" s="15" t="s">
        <v>70</v>
      </c>
      <c r="H6" s="24"/>
    </row>
    <row r="7" spans="1:8" x14ac:dyDescent="0.35">
      <c r="A7" s="90"/>
      <c r="B7" s="94"/>
      <c r="C7" s="98"/>
      <c r="D7" s="19">
        <v>4</v>
      </c>
      <c r="E7" s="15">
        <v>3</v>
      </c>
      <c r="F7" s="15">
        <v>2</v>
      </c>
      <c r="G7" s="15">
        <v>1</v>
      </c>
      <c r="H7" s="24"/>
    </row>
    <row r="8" spans="1:8" x14ac:dyDescent="0.35">
      <c r="A8" s="91" t="s">
        <v>0</v>
      </c>
      <c r="B8" s="95" t="s">
        <v>104</v>
      </c>
      <c r="C8" s="99">
        <v>1</v>
      </c>
      <c r="D8" s="20" t="s">
        <v>218</v>
      </c>
      <c r="E8" s="17" t="s">
        <v>219</v>
      </c>
      <c r="F8" s="16" t="s">
        <v>74</v>
      </c>
      <c r="G8" s="16" t="s">
        <v>73</v>
      </c>
      <c r="H8" s="25"/>
    </row>
    <row r="9" spans="1:8" x14ac:dyDescent="0.35">
      <c r="A9" s="92"/>
      <c r="B9" s="94"/>
      <c r="C9" s="98"/>
      <c r="D9" s="20">
        <v>4</v>
      </c>
      <c r="E9" s="16">
        <v>3</v>
      </c>
      <c r="F9" s="16">
        <v>2</v>
      </c>
      <c r="G9" s="16">
        <v>1</v>
      </c>
      <c r="H9" s="25"/>
    </row>
    <row r="10" spans="1:8" x14ac:dyDescent="0.35">
      <c r="A10" s="86" t="s">
        <v>1</v>
      </c>
      <c r="B10" s="93" t="s">
        <v>108</v>
      </c>
      <c r="C10" s="97">
        <v>2</v>
      </c>
      <c r="D10" s="19" t="s">
        <v>2</v>
      </c>
      <c r="E10" s="15" t="s">
        <v>75</v>
      </c>
      <c r="F10" s="15" t="s">
        <v>76</v>
      </c>
      <c r="G10" s="15" t="s">
        <v>77</v>
      </c>
      <c r="H10" s="24"/>
    </row>
    <row r="11" spans="1:8" x14ac:dyDescent="0.35">
      <c r="A11" s="90"/>
      <c r="B11" s="94"/>
      <c r="C11" s="98"/>
      <c r="D11" s="19">
        <v>4</v>
      </c>
      <c r="E11" s="15">
        <v>3</v>
      </c>
      <c r="F11" s="15">
        <v>2</v>
      </c>
      <c r="G11" s="15">
        <v>1</v>
      </c>
      <c r="H11" s="24"/>
    </row>
    <row r="12" spans="1:8" x14ac:dyDescent="0.35">
      <c r="A12" s="91" t="s">
        <v>3</v>
      </c>
      <c r="B12" s="95" t="s">
        <v>108</v>
      </c>
      <c r="C12" s="99">
        <v>2</v>
      </c>
      <c r="D12" s="20" t="s">
        <v>78</v>
      </c>
      <c r="E12" s="16" t="s">
        <v>80</v>
      </c>
      <c r="F12" s="16" t="s">
        <v>79</v>
      </c>
      <c r="G12" s="16" t="s">
        <v>4</v>
      </c>
      <c r="H12" s="25"/>
    </row>
    <row r="13" spans="1:8" x14ac:dyDescent="0.35">
      <c r="A13" s="92"/>
      <c r="B13" s="94"/>
      <c r="C13" s="98"/>
      <c r="D13" s="20">
        <v>4</v>
      </c>
      <c r="E13" s="16">
        <v>3</v>
      </c>
      <c r="F13" s="16">
        <v>2</v>
      </c>
      <c r="G13" s="16">
        <v>1</v>
      </c>
      <c r="H13" s="25"/>
    </row>
    <row r="14" spans="1:8" x14ac:dyDescent="0.35">
      <c r="A14" s="86" t="s">
        <v>5</v>
      </c>
      <c r="B14" s="93" t="s">
        <v>104</v>
      </c>
      <c r="C14" s="97">
        <v>3</v>
      </c>
      <c r="D14" s="19" t="s">
        <v>6</v>
      </c>
      <c r="E14" s="15" t="s">
        <v>81</v>
      </c>
      <c r="F14" s="15" t="s">
        <v>82</v>
      </c>
      <c r="G14" s="15" t="s">
        <v>83</v>
      </c>
      <c r="H14" s="24" t="s">
        <v>109</v>
      </c>
    </row>
    <row r="15" spans="1:8" x14ac:dyDescent="0.35">
      <c r="A15" s="90"/>
      <c r="B15" s="94"/>
      <c r="C15" s="98"/>
      <c r="D15" s="19">
        <v>5</v>
      </c>
      <c r="E15" s="15">
        <v>4</v>
      </c>
      <c r="F15" s="15">
        <v>3</v>
      </c>
      <c r="G15" s="15">
        <v>2</v>
      </c>
      <c r="H15" s="24">
        <v>1</v>
      </c>
    </row>
    <row r="16" spans="1:8" x14ac:dyDescent="0.35">
      <c r="A16" s="91" t="s">
        <v>7</v>
      </c>
      <c r="B16" s="95" t="s">
        <v>104</v>
      </c>
      <c r="C16" s="99">
        <v>2</v>
      </c>
      <c r="D16" s="20" t="s">
        <v>84</v>
      </c>
      <c r="E16" s="16" t="s">
        <v>85</v>
      </c>
      <c r="F16" s="16" t="s">
        <v>86</v>
      </c>
      <c r="G16" s="16" t="s">
        <v>87</v>
      </c>
      <c r="H16" s="25"/>
    </row>
    <row r="17" spans="1:8" x14ac:dyDescent="0.35">
      <c r="A17" s="92"/>
      <c r="B17" s="94"/>
      <c r="C17" s="98"/>
      <c r="D17" s="20">
        <v>4</v>
      </c>
      <c r="E17" s="16">
        <v>3</v>
      </c>
      <c r="F17" s="16">
        <v>2</v>
      </c>
      <c r="G17" s="16">
        <v>1</v>
      </c>
      <c r="H17" s="25"/>
    </row>
    <row r="18" spans="1:8" x14ac:dyDescent="0.35">
      <c r="A18" s="86" t="s">
        <v>8</v>
      </c>
      <c r="B18" s="93" t="s">
        <v>108</v>
      </c>
      <c r="C18" s="97">
        <v>2</v>
      </c>
      <c r="D18" s="19" t="s">
        <v>2</v>
      </c>
      <c r="E18" s="15" t="s">
        <v>9</v>
      </c>
      <c r="F18" s="15" t="s">
        <v>10</v>
      </c>
      <c r="G18" s="15" t="s">
        <v>6</v>
      </c>
      <c r="H18" s="24"/>
    </row>
    <row r="19" spans="1:8" x14ac:dyDescent="0.35">
      <c r="A19" s="90"/>
      <c r="B19" s="94"/>
      <c r="C19" s="98"/>
      <c r="D19" s="19">
        <v>4</v>
      </c>
      <c r="E19" s="15">
        <v>3</v>
      </c>
      <c r="F19" s="15">
        <v>2</v>
      </c>
      <c r="G19" s="15">
        <v>1</v>
      </c>
      <c r="H19" s="24"/>
    </row>
    <row r="20" spans="1:8" x14ac:dyDescent="0.35">
      <c r="A20" s="91" t="s">
        <v>11</v>
      </c>
      <c r="B20" s="95" t="s">
        <v>108</v>
      </c>
      <c r="C20" s="99">
        <v>4</v>
      </c>
      <c r="D20" s="20" t="s">
        <v>12</v>
      </c>
      <c r="E20" s="16" t="s">
        <v>88</v>
      </c>
      <c r="F20" s="16" t="s">
        <v>89</v>
      </c>
      <c r="G20" s="16" t="s">
        <v>6</v>
      </c>
      <c r="H20" s="25"/>
    </row>
    <row r="21" spans="1:8" x14ac:dyDescent="0.35">
      <c r="A21" s="92"/>
      <c r="B21" s="94"/>
      <c r="C21" s="98"/>
      <c r="D21" s="20">
        <v>4</v>
      </c>
      <c r="E21" s="16">
        <v>3</v>
      </c>
      <c r="F21" s="16">
        <v>2</v>
      </c>
      <c r="G21" s="16">
        <v>1</v>
      </c>
      <c r="H21" s="25"/>
    </row>
    <row r="22" spans="1:8" x14ac:dyDescent="0.35">
      <c r="A22" s="86" t="s">
        <v>13</v>
      </c>
      <c r="B22" s="93" t="s">
        <v>108</v>
      </c>
      <c r="C22" s="97">
        <v>2</v>
      </c>
      <c r="D22" s="19" t="s">
        <v>2</v>
      </c>
      <c r="E22" s="15" t="s">
        <v>9</v>
      </c>
      <c r="F22" s="15" t="s">
        <v>10</v>
      </c>
      <c r="G22" s="15" t="s">
        <v>14</v>
      </c>
      <c r="H22" s="24"/>
    </row>
    <row r="23" spans="1:8" x14ac:dyDescent="0.35">
      <c r="A23" s="90"/>
      <c r="B23" s="94"/>
      <c r="C23" s="98"/>
      <c r="D23" s="19">
        <v>4</v>
      </c>
      <c r="E23" s="15">
        <v>3</v>
      </c>
      <c r="F23" s="15">
        <v>2</v>
      </c>
      <c r="G23" s="15">
        <v>1</v>
      </c>
      <c r="H23" s="24"/>
    </row>
    <row r="24" spans="1:8" x14ac:dyDescent="0.35">
      <c r="A24" s="91" t="s">
        <v>15</v>
      </c>
      <c r="B24" s="95" t="s">
        <v>123</v>
      </c>
      <c r="C24" s="99">
        <v>3</v>
      </c>
      <c r="D24" s="20" t="s">
        <v>2</v>
      </c>
      <c r="E24" s="16" t="s">
        <v>9</v>
      </c>
      <c r="F24" s="16" t="s">
        <v>10</v>
      </c>
      <c r="G24" s="16" t="s">
        <v>14</v>
      </c>
      <c r="H24" s="25"/>
    </row>
    <row r="25" spans="1:8" x14ac:dyDescent="0.35">
      <c r="A25" s="92"/>
      <c r="B25" s="94"/>
      <c r="C25" s="98"/>
      <c r="D25" s="20">
        <v>4</v>
      </c>
      <c r="E25" s="16">
        <v>3</v>
      </c>
      <c r="F25" s="16">
        <v>2</v>
      </c>
      <c r="G25" s="16">
        <v>1</v>
      </c>
      <c r="H25" s="25"/>
    </row>
    <row r="26" spans="1:8" x14ac:dyDescent="0.35">
      <c r="A26" s="86" t="s">
        <v>16</v>
      </c>
      <c r="B26" s="93" t="s">
        <v>108</v>
      </c>
      <c r="C26" s="97">
        <v>2</v>
      </c>
      <c r="D26" s="19" t="s">
        <v>17</v>
      </c>
      <c r="E26" s="15" t="s">
        <v>18</v>
      </c>
      <c r="F26" s="15" t="s">
        <v>19</v>
      </c>
      <c r="G26" s="15" t="s">
        <v>20</v>
      </c>
      <c r="H26" s="24"/>
    </row>
    <row r="27" spans="1:8" x14ac:dyDescent="0.35">
      <c r="A27" s="90"/>
      <c r="B27" s="94"/>
      <c r="C27" s="98"/>
      <c r="D27" s="19">
        <v>4</v>
      </c>
      <c r="E27" s="15">
        <v>3</v>
      </c>
      <c r="F27" s="15">
        <v>2</v>
      </c>
      <c r="G27" s="15">
        <v>1</v>
      </c>
      <c r="H27" s="24"/>
    </row>
    <row r="28" spans="1:8" x14ac:dyDescent="0.35">
      <c r="A28" s="91" t="s">
        <v>892</v>
      </c>
      <c r="B28" s="95" t="s">
        <v>108</v>
      </c>
      <c r="C28" s="99">
        <v>2</v>
      </c>
      <c r="D28" s="20" t="s">
        <v>22</v>
      </c>
      <c r="E28" s="16" t="s">
        <v>895</v>
      </c>
      <c r="F28" s="16" t="s">
        <v>894</v>
      </c>
      <c r="G28" s="16" t="s">
        <v>893</v>
      </c>
      <c r="H28" s="25" t="s">
        <v>880</v>
      </c>
    </row>
    <row r="29" spans="1:8" x14ac:dyDescent="0.35">
      <c r="A29" s="92"/>
      <c r="B29" s="94"/>
      <c r="C29" s="98"/>
      <c r="D29" s="20">
        <v>4</v>
      </c>
      <c r="E29" s="16">
        <v>3</v>
      </c>
      <c r="F29" s="16">
        <v>2</v>
      </c>
      <c r="G29" s="16">
        <v>1</v>
      </c>
      <c r="H29" s="25">
        <v>3</v>
      </c>
    </row>
    <row r="30" spans="1:8" x14ac:dyDescent="0.35">
      <c r="A30" s="86" t="s">
        <v>54</v>
      </c>
      <c r="B30" s="93" t="s">
        <v>108</v>
      </c>
      <c r="C30" s="97">
        <v>2</v>
      </c>
      <c r="D30" s="19" t="s">
        <v>23</v>
      </c>
      <c r="E30" s="15" t="s">
        <v>24</v>
      </c>
      <c r="F30" s="15" t="s">
        <v>25</v>
      </c>
      <c r="G30" s="15" t="s">
        <v>26</v>
      </c>
      <c r="H30" s="24"/>
    </row>
    <row r="31" spans="1:8" x14ac:dyDescent="0.35">
      <c r="A31" s="90"/>
      <c r="B31" s="94"/>
      <c r="C31" s="98"/>
      <c r="D31" s="19">
        <v>4</v>
      </c>
      <c r="E31" s="15">
        <v>3</v>
      </c>
      <c r="F31" s="15">
        <v>2</v>
      </c>
      <c r="G31" s="15">
        <v>1</v>
      </c>
      <c r="H31" s="24"/>
    </row>
    <row r="32" spans="1:8" x14ac:dyDescent="0.35">
      <c r="A32" s="91" t="s">
        <v>55</v>
      </c>
      <c r="B32" s="95" t="s">
        <v>104</v>
      </c>
      <c r="C32" s="99">
        <v>2</v>
      </c>
      <c r="D32" s="20" t="s">
        <v>93</v>
      </c>
      <c r="E32" s="16" t="s">
        <v>94</v>
      </c>
      <c r="F32" s="16" t="s">
        <v>95</v>
      </c>
      <c r="G32" s="16"/>
      <c r="H32" s="25"/>
    </row>
    <row r="33" spans="1:8" x14ac:dyDescent="0.35">
      <c r="A33" s="92"/>
      <c r="B33" s="94"/>
      <c r="C33" s="98"/>
      <c r="D33" s="20">
        <v>3</v>
      </c>
      <c r="E33" s="16">
        <v>2</v>
      </c>
      <c r="F33" s="16">
        <v>1</v>
      </c>
      <c r="G33" s="16"/>
      <c r="H33" s="25"/>
    </row>
    <row r="34" spans="1:8" x14ac:dyDescent="0.35">
      <c r="A34" s="86" t="s">
        <v>56</v>
      </c>
      <c r="B34" s="93" t="s">
        <v>103</v>
      </c>
      <c r="C34" s="97">
        <v>4</v>
      </c>
      <c r="D34" s="19" t="s">
        <v>121</v>
      </c>
      <c r="E34" s="18" t="s">
        <v>96</v>
      </c>
      <c r="F34" s="18" t="s">
        <v>120</v>
      </c>
      <c r="G34" s="18" t="s">
        <v>122</v>
      </c>
      <c r="H34" s="24"/>
    </row>
    <row r="35" spans="1:8" x14ac:dyDescent="0.35">
      <c r="A35" s="90"/>
      <c r="B35" s="94"/>
      <c r="C35" s="98"/>
      <c r="D35" s="19">
        <v>4</v>
      </c>
      <c r="E35" s="15">
        <v>3</v>
      </c>
      <c r="F35" s="15">
        <v>2</v>
      </c>
      <c r="G35" s="15">
        <v>1</v>
      </c>
      <c r="H35" s="24"/>
    </row>
    <row r="36" spans="1:8" x14ac:dyDescent="0.35">
      <c r="A36" s="91" t="s">
        <v>57</v>
      </c>
      <c r="B36" s="95" t="s">
        <v>103</v>
      </c>
      <c r="C36" s="99">
        <v>2</v>
      </c>
      <c r="D36" s="20" t="s">
        <v>41</v>
      </c>
      <c r="E36" s="16" t="s">
        <v>97</v>
      </c>
      <c r="F36" s="16" t="s">
        <v>98</v>
      </c>
      <c r="G36" s="16" t="s">
        <v>99</v>
      </c>
      <c r="H36" s="25" t="s">
        <v>100</v>
      </c>
    </row>
    <row r="37" spans="1:8" x14ac:dyDescent="0.35">
      <c r="A37" s="92"/>
      <c r="B37" s="94"/>
      <c r="C37" s="98"/>
      <c r="D37" s="20">
        <v>5</v>
      </c>
      <c r="E37" s="16">
        <v>4</v>
      </c>
      <c r="F37" s="16">
        <v>3</v>
      </c>
      <c r="G37" s="16">
        <v>2</v>
      </c>
      <c r="H37" s="25">
        <v>1</v>
      </c>
    </row>
    <row r="38" spans="1:8" x14ac:dyDescent="0.35">
      <c r="A38" s="86" t="s">
        <v>58</v>
      </c>
      <c r="B38" s="93" t="s">
        <v>101</v>
      </c>
      <c r="C38" s="97">
        <v>3</v>
      </c>
      <c r="D38" s="19" t="s">
        <v>41</v>
      </c>
      <c r="E38" s="15" t="s">
        <v>97</v>
      </c>
      <c r="F38" s="15" t="s">
        <v>102</v>
      </c>
      <c r="G38" s="15" t="s">
        <v>99</v>
      </c>
      <c r="H38" s="24" t="s">
        <v>100</v>
      </c>
    </row>
    <row r="39" spans="1:8" ht="15" thickBot="1" x14ac:dyDescent="0.4">
      <c r="A39" s="87"/>
      <c r="B39" s="96"/>
      <c r="C39" s="100"/>
      <c r="D39" s="26">
        <v>5</v>
      </c>
      <c r="E39" s="27">
        <v>4</v>
      </c>
      <c r="F39" s="27">
        <v>3</v>
      </c>
      <c r="G39" s="27">
        <v>2</v>
      </c>
      <c r="H39" s="28">
        <v>1</v>
      </c>
    </row>
  </sheetData>
  <mergeCells count="58">
    <mergeCell ref="C38:C39"/>
    <mergeCell ref="C26:C27"/>
    <mergeCell ref="C28:C29"/>
    <mergeCell ref="C30:C31"/>
    <mergeCell ref="C32:C33"/>
    <mergeCell ref="C34:C35"/>
    <mergeCell ref="B34:B35"/>
    <mergeCell ref="B36:B37"/>
    <mergeCell ref="B38:B39"/>
    <mergeCell ref="C2:C3"/>
    <mergeCell ref="C4:C5"/>
    <mergeCell ref="C6:C7"/>
    <mergeCell ref="C8:C9"/>
    <mergeCell ref="C10:C11"/>
    <mergeCell ref="C12:C13"/>
    <mergeCell ref="C14:C15"/>
    <mergeCell ref="C16:C17"/>
    <mergeCell ref="C18:C19"/>
    <mergeCell ref="C20:C21"/>
    <mergeCell ref="C22:C23"/>
    <mergeCell ref="C24:C25"/>
    <mergeCell ref="C36:C37"/>
    <mergeCell ref="B24:B25"/>
    <mergeCell ref="B26:B27"/>
    <mergeCell ref="B28:B29"/>
    <mergeCell ref="B30:B31"/>
    <mergeCell ref="B32:B33"/>
    <mergeCell ref="B14:B15"/>
    <mergeCell ref="B16:B17"/>
    <mergeCell ref="B18:B19"/>
    <mergeCell ref="B20:B21"/>
    <mergeCell ref="B22:B23"/>
    <mergeCell ref="A6:A7"/>
    <mergeCell ref="A8:A9"/>
    <mergeCell ref="A10:A11"/>
    <mergeCell ref="A12:A13"/>
    <mergeCell ref="B2:B3"/>
    <mergeCell ref="B4:B5"/>
    <mergeCell ref="B6:B7"/>
    <mergeCell ref="B8:B9"/>
    <mergeCell ref="B10:B11"/>
    <mergeCell ref="B12:B13"/>
    <mergeCell ref="A38:A39"/>
    <mergeCell ref="D1:H1"/>
    <mergeCell ref="A26:A27"/>
    <mergeCell ref="A28:A29"/>
    <mergeCell ref="A30:A31"/>
    <mergeCell ref="A32:A33"/>
    <mergeCell ref="A34:A35"/>
    <mergeCell ref="A36:A37"/>
    <mergeCell ref="A14:A15"/>
    <mergeCell ref="A16:A17"/>
    <mergeCell ref="A18:A19"/>
    <mergeCell ref="A20:A21"/>
    <mergeCell ref="A22:A23"/>
    <mergeCell ref="A24:A25"/>
    <mergeCell ref="A2:A3"/>
    <mergeCell ref="A4:A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8"/>
  <sheetViews>
    <sheetView workbookViewId="0">
      <selection activeCell="F4" sqref="F4"/>
    </sheetView>
  </sheetViews>
  <sheetFormatPr defaultRowHeight="14.5" x14ac:dyDescent="0.35"/>
  <cols>
    <col min="1" max="1" width="19.08984375" customWidth="1"/>
    <col min="2" max="2" width="16.36328125" customWidth="1"/>
    <col min="3" max="3" width="16.81640625" customWidth="1"/>
    <col min="4" max="5" width="23.90625" customWidth="1"/>
    <col min="6" max="6" width="19.08984375" bestFit="1" customWidth="1"/>
    <col min="7" max="7" width="16.6328125" customWidth="1"/>
    <col min="8" max="8" width="21.36328125" bestFit="1" customWidth="1"/>
  </cols>
  <sheetData>
    <row r="1" spans="1:8" x14ac:dyDescent="0.35">
      <c r="F1" s="29">
        <f>SUM(F4:F8)</f>
        <v>7</v>
      </c>
      <c r="G1" s="30">
        <f>SUM(G4:G8)/IF(F1&gt;0,F1,1)</f>
        <v>64.285714285714292</v>
      </c>
      <c r="H1" s="33" t="s">
        <v>46</v>
      </c>
    </row>
    <row r="2" spans="1:8" x14ac:dyDescent="0.35">
      <c r="A2" s="31" t="s">
        <v>44</v>
      </c>
      <c r="B2" s="31" t="s">
        <v>33</v>
      </c>
      <c r="C2" s="31" t="s">
        <v>27</v>
      </c>
      <c r="D2" s="31" t="s">
        <v>50</v>
      </c>
      <c r="E2" s="31" t="s">
        <v>34</v>
      </c>
      <c r="F2" s="31" t="s">
        <v>59</v>
      </c>
      <c r="G2" s="31" t="s">
        <v>45</v>
      </c>
      <c r="H2" s="32"/>
    </row>
    <row r="3" spans="1:8" x14ac:dyDescent="0.35">
      <c r="A3" s="31"/>
      <c r="B3" s="31" t="s">
        <v>154</v>
      </c>
      <c r="C3" s="31"/>
      <c r="D3" s="31" t="s">
        <v>155</v>
      </c>
      <c r="E3" s="31" t="s">
        <v>35</v>
      </c>
      <c r="F3" s="32"/>
      <c r="G3" s="32"/>
      <c r="H3" s="32"/>
    </row>
    <row r="4" spans="1:8" x14ac:dyDescent="0.35">
      <c r="A4" s="1" t="s">
        <v>28</v>
      </c>
      <c r="B4" s="1">
        <v>2</v>
      </c>
      <c r="C4" s="1">
        <v>2</v>
      </c>
      <c r="D4" s="1">
        <v>1</v>
      </c>
      <c r="E4" s="29">
        <f>IF(D4&gt;0,50+(D4-1)*(50/(B4-1)),0)</f>
        <v>50</v>
      </c>
      <c r="F4" s="29">
        <f>IF(D4&gt;0,C4,0)</f>
        <v>2</v>
      </c>
      <c r="G4" s="29">
        <f>C4*E4</f>
        <v>100</v>
      </c>
    </row>
    <row r="5" spans="1:8" x14ac:dyDescent="0.35">
      <c r="A5" s="1" t="s">
        <v>29</v>
      </c>
      <c r="B5" s="1">
        <v>4</v>
      </c>
      <c r="C5" s="1">
        <v>3</v>
      </c>
      <c r="D5" s="1">
        <v>1</v>
      </c>
      <c r="E5" s="29">
        <f t="shared" ref="E5:E8" si="0">IF(D5&gt;0,50+(D5-1)*(50/(B5-1)),0)</f>
        <v>50</v>
      </c>
      <c r="F5" s="29">
        <f>IF(D5&gt;0,C5,0)</f>
        <v>3</v>
      </c>
      <c r="G5" s="29">
        <f t="shared" ref="G5:G8" si="1">C5*E5</f>
        <v>150</v>
      </c>
    </row>
    <row r="6" spans="1:8" x14ac:dyDescent="0.35">
      <c r="A6" s="1" t="s">
        <v>30</v>
      </c>
      <c r="B6" s="1">
        <v>3</v>
      </c>
      <c r="C6" s="1">
        <v>1</v>
      </c>
      <c r="D6" s="1">
        <v>3</v>
      </c>
      <c r="E6" s="29">
        <f t="shared" si="0"/>
        <v>100</v>
      </c>
      <c r="F6" s="29">
        <f>IF(D6&gt;0,C6,0)</f>
        <v>1</v>
      </c>
      <c r="G6" s="29">
        <f t="shared" si="1"/>
        <v>100</v>
      </c>
    </row>
    <row r="7" spans="1:8" x14ac:dyDescent="0.35">
      <c r="A7" s="1" t="s">
        <v>31</v>
      </c>
      <c r="B7" s="1">
        <v>2</v>
      </c>
      <c r="C7" s="1">
        <v>1</v>
      </c>
      <c r="D7" s="1">
        <v>2</v>
      </c>
      <c r="E7" s="29">
        <f t="shared" si="0"/>
        <v>100</v>
      </c>
      <c r="F7" s="29">
        <f>IF(D7&gt;0,C7,0)</f>
        <v>1</v>
      </c>
      <c r="G7" s="29">
        <f t="shared" si="1"/>
        <v>100</v>
      </c>
    </row>
    <row r="8" spans="1:8" x14ac:dyDescent="0.35">
      <c r="A8" s="1" t="s">
        <v>32</v>
      </c>
      <c r="B8" s="1">
        <v>4</v>
      </c>
      <c r="C8" s="1">
        <v>1</v>
      </c>
      <c r="D8" s="1"/>
      <c r="E8" s="29">
        <f t="shared" si="0"/>
        <v>0</v>
      </c>
      <c r="F8" s="29">
        <f>IF(D8&gt;0,C8,0)</f>
        <v>0</v>
      </c>
      <c r="G8" s="29">
        <f t="shared" si="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6"/>
  <sheetViews>
    <sheetView workbookViewId="0">
      <selection activeCell="D13" sqref="D13"/>
    </sheetView>
  </sheetViews>
  <sheetFormatPr defaultRowHeight="14.5" x14ac:dyDescent="0.35"/>
  <cols>
    <col min="1" max="1" width="16.1796875" customWidth="1"/>
    <col min="2" max="2" width="26.36328125" customWidth="1"/>
  </cols>
  <sheetData>
    <row r="1" spans="1:2" s="77" customFormat="1" ht="25" customHeight="1" x14ac:dyDescent="0.35">
      <c r="A1" s="76" t="s">
        <v>896</v>
      </c>
      <c r="B1" s="76" t="s">
        <v>897</v>
      </c>
    </row>
    <row r="2" spans="1:2" s="77" customFormat="1" ht="25" customHeight="1" x14ac:dyDescent="0.35">
      <c r="A2" s="11" t="s">
        <v>36</v>
      </c>
      <c r="B2" s="11" t="s">
        <v>49</v>
      </c>
    </row>
    <row r="3" spans="1:2" s="77" customFormat="1" ht="25" customHeight="1" x14ac:dyDescent="0.35">
      <c r="A3" s="10" t="s">
        <v>37</v>
      </c>
      <c r="B3" s="10" t="s">
        <v>42</v>
      </c>
    </row>
    <row r="4" spans="1:2" s="77" customFormat="1" ht="25" customHeight="1" x14ac:dyDescent="0.35">
      <c r="A4" s="75" t="s">
        <v>38</v>
      </c>
      <c r="B4" s="75" t="s">
        <v>43</v>
      </c>
    </row>
    <row r="5" spans="1:2" s="77" customFormat="1" ht="25" customHeight="1" x14ac:dyDescent="0.35">
      <c r="A5" s="8" t="s">
        <v>39</v>
      </c>
      <c r="B5" s="8" t="s">
        <v>47</v>
      </c>
    </row>
    <row r="6" spans="1:2" s="77" customFormat="1" ht="25" customHeight="1" x14ac:dyDescent="0.35">
      <c r="A6" s="7" t="s">
        <v>40</v>
      </c>
      <c r="B6" s="7" t="s">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7939C-DB22-43DD-A80E-761CCEC1A324}">
  <sheetPr codeName="Sheet4"/>
  <dimension ref="A1:K6"/>
  <sheetViews>
    <sheetView workbookViewId="0">
      <selection activeCell="L6" sqref="L6"/>
    </sheetView>
  </sheetViews>
  <sheetFormatPr defaultRowHeight="14.5" x14ac:dyDescent="0.35"/>
  <cols>
    <col min="1" max="1" width="13.7265625" customWidth="1"/>
    <col min="2" max="11" width="10.6328125" customWidth="1"/>
  </cols>
  <sheetData>
    <row r="1" spans="1:11" x14ac:dyDescent="0.35">
      <c r="A1" s="101" t="s">
        <v>110</v>
      </c>
      <c r="B1" s="101"/>
      <c r="C1" s="101"/>
      <c r="D1" s="101"/>
      <c r="E1" s="101"/>
      <c r="F1" s="101"/>
      <c r="G1" s="101"/>
      <c r="H1" s="101"/>
      <c r="I1" s="101"/>
      <c r="J1" s="101"/>
      <c r="K1" s="101"/>
    </row>
    <row r="2" spans="1:11" x14ac:dyDescent="0.35">
      <c r="A2" s="12"/>
      <c r="B2" s="102" t="s">
        <v>41</v>
      </c>
      <c r="C2" s="102"/>
      <c r="D2" s="103" t="s">
        <v>97</v>
      </c>
      <c r="E2" s="103"/>
      <c r="F2" s="104" t="s">
        <v>98</v>
      </c>
      <c r="G2" s="104"/>
      <c r="H2" s="105" t="s">
        <v>99</v>
      </c>
      <c r="I2" s="105"/>
      <c r="J2" s="106" t="s">
        <v>100</v>
      </c>
      <c r="K2" s="106"/>
    </row>
    <row r="3" spans="1:11" x14ac:dyDescent="0.35">
      <c r="A3" s="12"/>
      <c r="B3" s="7" t="s">
        <v>111</v>
      </c>
      <c r="C3" s="7" t="s">
        <v>112</v>
      </c>
      <c r="D3" s="8" t="s">
        <v>111</v>
      </c>
      <c r="E3" s="8" t="s">
        <v>112</v>
      </c>
      <c r="F3" s="9" t="s">
        <v>111</v>
      </c>
      <c r="G3" s="9" t="s">
        <v>112</v>
      </c>
      <c r="H3" s="10" t="s">
        <v>111</v>
      </c>
      <c r="I3" s="10" t="s">
        <v>112</v>
      </c>
      <c r="J3" s="11" t="s">
        <v>111</v>
      </c>
      <c r="K3" s="11" t="s">
        <v>112</v>
      </c>
    </row>
    <row r="4" spans="1:11" x14ac:dyDescent="0.35">
      <c r="A4" s="12" t="s">
        <v>113</v>
      </c>
      <c r="B4" s="7" t="s">
        <v>124</v>
      </c>
      <c r="C4" s="7" t="s">
        <v>125</v>
      </c>
      <c r="D4" s="8" t="s">
        <v>124</v>
      </c>
      <c r="E4" s="8" t="s">
        <v>126</v>
      </c>
      <c r="F4" s="9" t="s">
        <v>127</v>
      </c>
      <c r="G4" s="9" t="s">
        <v>128</v>
      </c>
      <c r="H4" s="10" t="s">
        <v>125</v>
      </c>
      <c r="I4" s="10" t="s">
        <v>129</v>
      </c>
      <c r="J4" s="11" t="s">
        <v>130</v>
      </c>
      <c r="K4" s="11" t="s">
        <v>131</v>
      </c>
    </row>
    <row r="5" spans="1:11" x14ac:dyDescent="0.35">
      <c r="A5" s="12" t="s">
        <v>114</v>
      </c>
      <c r="B5" s="7"/>
      <c r="C5" s="7"/>
      <c r="D5" s="8"/>
      <c r="E5" s="8"/>
      <c r="F5" s="9"/>
      <c r="G5" s="9"/>
      <c r="H5" s="10"/>
      <c r="I5" s="10"/>
      <c r="J5" s="11" t="s">
        <v>132</v>
      </c>
      <c r="K5" s="11" t="s">
        <v>133</v>
      </c>
    </row>
    <row r="6" spans="1:11" x14ac:dyDescent="0.35">
      <c r="A6" s="101" t="s">
        <v>115</v>
      </c>
      <c r="B6" s="101"/>
      <c r="C6" s="101"/>
      <c r="D6" s="101"/>
      <c r="E6" s="101"/>
      <c r="F6" s="101"/>
      <c r="G6" s="101"/>
      <c r="H6" s="101"/>
      <c r="I6" s="101"/>
      <c r="J6" s="101"/>
      <c r="K6" s="101"/>
    </row>
  </sheetData>
  <mergeCells count="7">
    <mergeCell ref="A6:K6"/>
    <mergeCell ref="A1:K1"/>
    <mergeCell ref="B2:C2"/>
    <mergeCell ref="D2:E2"/>
    <mergeCell ref="F2:G2"/>
    <mergeCell ref="H2:I2"/>
    <mergeCell ref="J2:K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166D-6120-4662-A7B7-17BC5766E30F}">
  <sheetPr codeName="Sheet5"/>
  <dimension ref="A1:G7"/>
  <sheetViews>
    <sheetView workbookViewId="0">
      <selection activeCell="A2" sqref="A2:G6"/>
    </sheetView>
  </sheetViews>
  <sheetFormatPr defaultRowHeight="14.5" x14ac:dyDescent="0.35"/>
  <cols>
    <col min="1" max="1" width="17.453125" customWidth="1"/>
    <col min="2" max="2" width="18" customWidth="1"/>
    <col min="3" max="7" width="10.6328125" customWidth="1"/>
  </cols>
  <sheetData>
    <row r="1" spans="1:7" ht="15" thickBot="1" x14ac:dyDescent="0.4">
      <c r="A1" s="107" t="s">
        <v>116</v>
      </c>
      <c r="B1" s="108"/>
      <c r="C1" s="108"/>
      <c r="D1" s="108"/>
      <c r="E1" s="108"/>
      <c r="F1" s="108"/>
      <c r="G1" s="109"/>
    </row>
    <row r="2" spans="1:7" ht="15" thickBot="1" x14ac:dyDescent="0.4">
      <c r="A2" s="13"/>
      <c r="B2" s="14"/>
      <c r="C2" s="2" t="s">
        <v>41</v>
      </c>
      <c r="D2" s="3" t="s">
        <v>97</v>
      </c>
      <c r="E2" s="4" t="s">
        <v>98</v>
      </c>
      <c r="F2" s="5" t="s">
        <v>99</v>
      </c>
      <c r="G2" s="6" t="s">
        <v>100</v>
      </c>
    </row>
    <row r="3" spans="1:7" ht="15" thickBot="1" x14ac:dyDescent="0.4">
      <c r="A3" s="110" t="s">
        <v>113</v>
      </c>
      <c r="B3" s="14" t="s">
        <v>55</v>
      </c>
      <c r="C3" s="2" t="s">
        <v>134</v>
      </c>
      <c r="D3" s="3" t="s">
        <v>136</v>
      </c>
      <c r="E3" s="4" t="s">
        <v>138</v>
      </c>
      <c r="F3" s="5" t="s">
        <v>142</v>
      </c>
      <c r="G3" s="6" t="s">
        <v>144</v>
      </c>
    </row>
    <row r="4" spans="1:7" ht="15" thickBot="1" x14ac:dyDescent="0.4">
      <c r="A4" s="111"/>
      <c r="B4" s="14" t="s">
        <v>117</v>
      </c>
      <c r="C4" s="2" t="s">
        <v>135</v>
      </c>
      <c r="D4" s="3" t="s">
        <v>137</v>
      </c>
      <c r="E4" s="4" t="s">
        <v>139</v>
      </c>
      <c r="F4" s="5" t="s">
        <v>143</v>
      </c>
      <c r="G4" s="6" t="s">
        <v>145</v>
      </c>
    </row>
    <row r="5" spans="1:7" ht="15" thickBot="1" x14ac:dyDescent="0.4">
      <c r="A5" s="110" t="s">
        <v>114</v>
      </c>
      <c r="B5" s="14" t="s">
        <v>55</v>
      </c>
      <c r="C5" s="2"/>
      <c r="D5" s="3"/>
      <c r="E5" s="4" t="s">
        <v>140</v>
      </c>
      <c r="F5" s="5"/>
      <c r="G5" s="6" t="s">
        <v>146</v>
      </c>
    </row>
    <row r="6" spans="1:7" ht="15" thickBot="1" x14ac:dyDescent="0.4">
      <c r="A6" s="111"/>
      <c r="B6" s="14" t="s">
        <v>117</v>
      </c>
      <c r="C6" s="2"/>
      <c r="D6" s="3"/>
      <c r="E6" s="4" t="s">
        <v>141</v>
      </c>
      <c r="F6" s="5"/>
      <c r="G6" s="6" t="s">
        <v>147</v>
      </c>
    </row>
    <row r="7" spans="1:7" ht="15" thickBot="1" x14ac:dyDescent="0.4">
      <c r="A7" s="107" t="s">
        <v>115</v>
      </c>
      <c r="B7" s="108"/>
      <c r="C7" s="108"/>
      <c r="D7" s="108"/>
      <c r="E7" s="108"/>
      <c r="F7" s="108"/>
      <c r="G7" s="112"/>
    </row>
  </sheetData>
  <mergeCells count="4">
    <mergeCell ref="A1:G1"/>
    <mergeCell ref="A3:A4"/>
    <mergeCell ref="A5:A6"/>
    <mergeCell ref="A7:G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93414-AD21-4437-B63B-55F435CB686C}">
  <sheetPr codeName="Sheet6"/>
  <dimension ref="A1:K5"/>
  <sheetViews>
    <sheetView workbookViewId="0">
      <selection activeCell="J2" sqref="J2"/>
    </sheetView>
  </sheetViews>
  <sheetFormatPr defaultRowHeight="14.5" x14ac:dyDescent="0.35"/>
  <cols>
    <col min="2" max="2" width="18" customWidth="1"/>
    <col min="3" max="3" width="13.90625" customWidth="1"/>
    <col min="4" max="4" width="14.6328125" bestFit="1" customWidth="1"/>
  </cols>
  <sheetData>
    <row r="1" spans="1:11" x14ac:dyDescent="0.35">
      <c r="A1" t="s">
        <v>781</v>
      </c>
      <c r="B1" t="s">
        <v>1320</v>
      </c>
      <c r="C1" t="s">
        <v>1321</v>
      </c>
      <c r="D1" t="s">
        <v>1322</v>
      </c>
      <c r="E1" t="s">
        <v>1323</v>
      </c>
      <c r="F1" t="s">
        <v>1324</v>
      </c>
      <c r="G1" t="s">
        <v>1325</v>
      </c>
      <c r="H1" t="s">
        <v>1326</v>
      </c>
      <c r="I1" t="s">
        <v>1327</v>
      </c>
      <c r="J1" t="s">
        <v>1328</v>
      </c>
      <c r="K1" t="s">
        <v>1329</v>
      </c>
    </row>
    <row r="2" spans="1:11" x14ac:dyDescent="0.35">
      <c r="A2">
        <v>1000</v>
      </c>
      <c r="B2" t="s">
        <v>159</v>
      </c>
      <c r="C2" s="83" t="s">
        <v>725</v>
      </c>
      <c r="D2" s="36" t="s">
        <v>850</v>
      </c>
      <c r="E2" t="s">
        <v>1330</v>
      </c>
      <c r="F2">
        <v>1</v>
      </c>
      <c r="G2">
        <v>0</v>
      </c>
      <c r="H2" s="35" t="s">
        <v>1331</v>
      </c>
      <c r="I2" s="84" t="s">
        <v>1332</v>
      </c>
    </row>
    <row r="3" spans="1:11" x14ac:dyDescent="0.35">
      <c r="A3">
        <v>1002</v>
      </c>
      <c r="D3" s="36"/>
    </row>
    <row r="4" spans="1:11" x14ac:dyDescent="0.35">
      <c r="D4" s="36"/>
    </row>
    <row r="5" spans="1:11" x14ac:dyDescent="0.35">
      <c r="D5" s="36"/>
    </row>
  </sheetData>
  <hyperlinks>
    <hyperlink ref="I2" r:id="rId1" xr:uid="{19399B63-6787-41A3-B836-96240789870E}"/>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30C5-2554-4A78-87A9-DDC0C4150078}">
  <sheetPr codeName="Sheet7"/>
  <dimension ref="A1:H7"/>
  <sheetViews>
    <sheetView tabSelected="1" workbookViewId="0">
      <selection activeCell="B5" sqref="B5"/>
    </sheetView>
  </sheetViews>
  <sheetFormatPr defaultRowHeight="14.5" x14ac:dyDescent="0.35"/>
  <cols>
    <col min="1" max="1" width="15.6328125" customWidth="1"/>
    <col min="2" max="3" width="27.7265625" customWidth="1"/>
    <col min="4" max="4" width="32.36328125" customWidth="1"/>
    <col min="5" max="5" width="16.36328125" customWidth="1"/>
    <col min="6" max="6" width="20.7265625" customWidth="1"/>
  </cols>
  <sheetData>
    <row r="1" spans="1:8" x14ac:dyDescent="0.35">
      <c r="A1" t="s">
        <v>148</v>
      </c>
      <c r="B1" t="s">
        <v>156</v>
      </c>
      <c r="C1" t="s">
        <v>161</v>
      </c>
      <c r="D1" t="s">
        <v>220</v>
      </c>
      <c r="E1" t="s">
        <v>157</v>
      </c>
      <c r="F1" t="s">
        <v>153</v>
      </c>
      <c r="H1" t="s">
        <v>1411</v>
      </c>
    </row>
    <row r="2" spans="1:8" x14ac:dyDescent="0.35">
      <c r="A2">
        <v>1000</v>
      </c>
      <c r="B2" t="s">
        <v>1412</v>
      </c>
      <c r="C2" t="s">
        <v>280</v>
      </c>
      <c r="F2">
        <v>10</v>
      </c>
      <c r="H2" t="str">
        <f>CONCATENATE("(",A2,", '",B2,"', '",C2, "', ", IF(D2="","NULL",D2),", ", IF(E2="","NULL",E2),", ",F2,", 'Raminder Ahlawat'),")</f>
        <v>(1000, 'Setup', 'Initial Setup', NULL, NULL, 10, 'Raminder Ahlawat'),</v>
      </c>
    </row>
    <row r="3" spans="1:8" x14ac:dyDescent="0.35">
      <c r="A3">
        <v>2000</v>
      </c>
      <c r="B3" t="s">
        <v>1413</v>
      </c>
      <c r="C3" t="s">
        <v>281</v>
      </c>
      <c r="D3">
        <v>1000</v>
      </c>
      <c r="F3">
        <v>20</v>
      </c>
      <c r="H3" t="str">
        <f>CONCATENATE("(",A3,", '",B3,"', '",C3, "', ", IF(D3="","NULL",D3),", ", IF(E3="","NULL",E3),", ",F3,", 'Raminder Ahlawat'),")</f>
        <v>(2000, 'Patient App', 'App Response', 1000, NULL, 20, 'Raminder Ahlawat'),</v>
      </c>
    </row>
    <row r="4" spans="1:8" x14ac:dyDescent="0.35">
      <c r="A4">
        <v>3000</v>
      </c>
      <c r="B4" t="s">
        <v>158</v>
      </c>
      <c r="C4" t="s">
        <v>282</v>
      </c>
      <c r="D4">
        <v>1000</v>
      </c>
      <c r="E4">
        <v>180</v>
      </c>
      <c r="F4">
        <v>50</v>
      </c>
      <c r="H4" t="str">
        <f>CONCATENATE("(",A4,", '",B4,"', '",C4, "', ", IF(D4="","NULL",D4),", ", IF(E4="","NULL",E4),", ",F4,", 'Raminder Ahlawat'),")</f>
        <v>(3000, 'General', 'Questionnaire', 1000, 180, 50, 'Raminder Ahlawat'),</v>
      </c>
    </row>
    <row r="5" spans="1:8" x14ac:dyDescent="0.35">
      <c r="C5" t="s">
        <v>282</v>
      </c>
      <c r="D5">
        <v>3000</v>
      </c>
    </row>
    <row r="6" spans="1:8" x14ac:dyDescent="0.35"/>
    <row r="7" spans="1:8" x14ac:dyDescent="0.35"/>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B9BDE-11D8-47E6-9DE7-6BFC6293D49D}">
  <sheetPr codeName="Sheet8"/>
  <dimension ref="A1:AM22"/>
  <sheetViews>
    <sheetView topLeftCell="A9" workbookViewId="0">
      <selection activeCell="B19" sqref="B19"/>
    </sheetView>
  </sheetViews>
  <sheetFormatPr defaultRowHeight="14.5" x14ac:dyDescent="0.35"/>
  <cols>
    <col min="2" max="2" width="23" customWidth="1"/>
    <col min="3" max="3" width="23.54296875" customWidth="1"/>
    <col min="4" max="4" width="21.1796875" bestFit="1" customWidth="1"/>
    <col min="5" max="5" width="7.7265625" bestFit="1" customWidth="1"/>
    <col min="6" max="6" width="9.7265625" bestFit="1" customWidth="1"/>
    <col min="7" max="7" width="21.453125" bestFit="1" customWidth="1"/>
    <col min="8" max="8" width="14.453125" bestFit="1" customWidth="1"/>
  </cols>
  <sheetData>
    <row r="1" spans="1:39" x14ac:dyDescent="0.35">
      <c r="A1" t="s">
        <v>148</v>
      </c>
      <c r="B1" t="s">
        <v>156</v>
      </c>
      <c r="C1" t="s">
        <v>160</v>
      </c>
      <c r="D1" t="s">
        <v>150</v>
      </c>
      <c r="E1" t="s">
        <v>151</v>
      </c>
      <c r="F1" t="s">
        <v>153</v>
      </c>
      <c r="G1" t="s">
        <v>202</v>
      </c>
      <c r="H1" t="s">
        <v>1333</v>
      </c>
      <c r="J1" t="s">
        <v>1334</v>
      </c>
    </row>
    <row r="2" spans="1:39" x14ac:dyDescent="0.35">
      <c r="A2" t="s">
        <v>1335</v>
      </c>
      <c r="B2" t="s">
        <v>171</v>
      </c>
      <c r="C2" t="s">
        <v>171</v>
      </c>
      <c r="D2" t="s">
        <v>1336</v>
      </c>
      <c r="E2" t="s">
        <v>1337</v>
      </c>
      <c r="F2" t="s">
        <v>1338</v>
      </c>
      <c r="G2" t="s">
        <v>1339</v>
      </c>
      <c r="H2" t="s">
        <v>1340</v>
      </c>
      <c r="J2" t="str">
        <f>CONCATENATE("(", A2,", '",B2,"', '",C2,"', ",D2, ", ",E2,", ", F2, ", 'Raminder Ahlawat', ", "'",G2,"', '", H2, "'),")</f>
        <v>(100, 'Gender', 'Gender', 1000, 0, 10, 'Raminder Ahlawat', 'com.lnf.questionnaire.datamodel.formatter.DefaultFormatter', 'selection'),</v>
      </c>
      <c r="AC2" t="str">
        <f>TRIM(A2)</f>
        <v>100</v>
      </c>
      <c r="AD2" t="str">
        <f t="shared" ref="AD2:AM2" si="0">TRIM(B2)</f>
        <v>Gender</v>
      </c>
      <c r="AE2" t="str">
        <f t="shared" si="0"/>
        <v>Gender</v>
      </c>
      <c r="AF2" t="str">
        <f t="shared" si="0"/>
        <v>1000</v>
      </c>
      <c r="AG2" t="str">
        <f t="shared" si="0"/>
        <v>0</v>
      </c>
      <c r="AH2" t="str">
        <f t="shared" si="0"/>
        <v>10</v>
      </c>
      <c r="AI2" t="str">
        <f t="shared" si="0"/>
        <v>com.lnf.questionnaire.datamodel.formatter.DefaultFormatter</v>
      </c>
      <c r="AJ2" t="str">
        <f t="shared" si="0"/>
        <v>selection</v>
      </c>
      <c r="AK2" t="str">
        <f t="shared" si="0"/>
        <v/>
      </c>
      <c r="AM2" t="str">
        <f t="shared" si="0"/>
        <v/>
      </c>
    </row>
    <row r="3" spans="1:39" x14ac:dyDescent="0.35">
      <c r="A3" t="s">
        <v>1341</v>
      </c>
      <c r="B3" t="s">
        <v>172</v>
      </c>
      <c r="C3" t="s">
        <v>172</v>
      </c>
      <c r="D3" t="s">
        <v>1336</v>
      </c>
      <c r="E3" t="s">
        <v>1342</v>
      </c>
      <c r="F3" t="s">
        <v>1343</v>
      </c>
      <c r="G3" t="s">
        <v>1344</v>
      </c>
      <c r="H3" t="s">
        <v>726</v>
      </c>
      <c r="J3" t="str">
        <f t="shared" ref="J3:J22" si="1">CONCATENATE("(", A3,", '",B3,"', '",C3,"', ",D3, ", ",E3,", ", F3, ", 'Raminder Ahlawat', ", "'",G3,"', '", H3, "'),")</f>
        <v>(200, 'Age', 'Age', 1000, 1, 20, 'Raminder Ahlawat', 'com.lnf.questionnaire.datamodel.formatter.AgeFormatter', 'date'),</v>
      </c>
      <c r="AC3" t="str">
        <f t="shared" ref="AC3:AC22" si="2">TRIM(A3)</f>
        <v>200</v>
      </c>
      <c r="AD3" t="str">
        <f t="shared" ref="AD3:AD22" si="3">TRIM(B3)</f>
        <v>Age</v>
      </c>
      <c r="AE3" t="str">
        <f t="shared" ref="AE3:AE22" si="4">TRIM(C3)</f>
        <v>Age</v>
      </c>
      <c r="AF3" t="str">
        <f t="shared" ref="AF3:AF22" si="5">TRIM(D3)</f>
        <v>1000</v>
      </c>
      <c r="AG3" t="str">
        <f t="shared" ref="AG3:AG22" si="6">TRIM(E3)</f>
        <v>1</v>
      </c>
      <c r="AH3" t="str">
        <f t="shared" ref="AH3:AH22" si="7">TRIM(F3)</f>
        <v>20</v>
      </c>
      <c r="AI3" t="str">
        <f t="shared" ref="AI3:AI22" si="8">TRIM(G3)</f>
        <v>com.lnf.questionnaire.datamodel.formatter.AgeFormatter</v>
      </c>
      <c r="AJ3" t="str">
        <f t="shared" ref="AJ3:AJ22" si="9">TRIM(H3)</f>
        <v>date</v>
      </c>
    </row>
    <row r="4" spans="1:39" x14ac:dyDescent="0.35">
      <c r="A4" t="s">
        <v>1336</v>
      </c>
      <c r="B4" t="s">
        <v>163</v>
      </c>
      <c r="C4" t="s">
        <v>163</v>
      </c>
      <c r="D4" t="s">
        <v>1345</v>
      </c>
      <c r="E4" t="s">
        <v>1346</v>
      </c>
      <c r="F4" t="s">
        <v>1347</v>
      </c>
      <c r="G4" t="s">
        <v>1348</v>
      </c>
      <c r="H4" t="s">
        <v>730</v>
      </c>
      <c r="J4" t="str">
        <f t="shared" si="1"/>
        <v>(1000, 'BMI', 'BMI', 2000, 2, 30, 'Raminder Ahlawat', 'com.lnf.questionnaire.datamodel.formatter.BmiFormatter', 'decimal'),</v>
      </c>
      <c r="AC4" t="str">
        <f t="shared" si="2"/>
        <v>1000</v>
      </c>
      <c r="AD4" t="str">
        <f t="shared" si="3"/>
        <v>BMI</v>
      </c>
      <c r="AE4" t="str">
        <f t="shared" si="4"/>
        <v>BMI</v>
      </c>
      <c r="AF4" t="str">
        <f t="shared" si="5"/>
        <v>2000</v>
      </c>
      <c r="AG4" t="str">
        <f t="shared" si="6"/>
        <v>2</v>
      </c>
      <c r="AH4" t="str">
        <f t="shared" si="7"/>
        <v>30</v>
      </c>
      <c r="AI4" t="str">
        <f t="shared" si="8"/>
        <v>com.lnf.questionnaire.datamodel.formatter.BmiFormatter</v>
      </c>
      <c r="AJ4" t="str">
        <f t="shared" si="9"/>
        <v>decimal</v>
      </c>
    </row>
    <row r="5" spans="1:39" x14ac:dyDescent="0.35">
      <c r="A5" t="s">
        <v>1345</v>
      </c>
      <c r="B5" t="s">
        <v>193</v>
      </c>
      <c r="C5" t="s">
        <v>193</v>
      </c>
      <c r="D5" t="s">
        <v>1345</v>
      </c>
      <c r="E5" t="s">
        <v>1346</v>
      </c>
      <c r="F5" t="s">
        <v>1349</v>
      </c>
      <c r="G5" t="s">
        <v>1350</v>
      </c>
      <c r="H5" t="s">
        <v>730</v>
      </c>
      <c r="J5" t="str">
        <f t="shared" si="1"/>
        <v>(2000, 'Waist to Hip', 'Waist to Hip', 2000, 2, 40, 'Raminder Ahlawat', 'com.lnf.questionnaire.datamodel.formatter.WaistToHipFormatter', 'decimal'),</v>
      </c>
      <c r="AC5" t="str">
        <f t="shared" si="2"/>
        <v>2000</v>
      </c>
      <c r="AD5" t="str">
        <f t="shared" si="3"/>
        <v>Waist to Hip</v>
      </c>
      <c r="AE5" t="str">
        <f t="shared" si="4"/>
        <v>Waist to Hip</v>
      </c>
      <c r="AF5" t="str">
        <f t="shared" si="5"/>
        <v>2000</v>
      </c>
      <c r="AG5" t="str">
        <f t="shared" si="6"/>
        <v>2</v>
      </c>
      <c r="AH5" t="str">
        <f t="shared" si="7"/>
        <v>40</v>
      </c>
      <c r="AI5" t="str">
        <f t="shared" si="8"/>
        <v>com.lnf.questionnaire.datamodel.formatter.WaistToHipFormatter</v>
      </c>
      <c r="AJ5" t="str">
        <f t="shared" si="9"/>
        <v>decimal</v>
      </c>
    </row>
    <row r="6" spans="1:39" x14ac:dyDescent="0.35">
      <c r="A6" t="s">
        <v>1351</v>
      </c>
      <c r="B6" t="s">
        <v>164</v>
      </c>
      <c r="C6" t="s">
        <v>164</v>
      </c>
      <c r="D6" t="s">
        <v>1345</v>
      </c>
      <c r="E6" t="s">
        <v>1342</v>
      </c>
      <c r="F6" t="s">
        <v>1352</v>
      </c>
      <c r="G6" t="s">
        <v>1353</v>
      </c>
      <c r="H6" t="s">
        <v>1340</v>
      </c>
      <c r="J6" t="str">
        <f t="shared" si="1"/>
        <v>(3000, 'Sleep', 'Sleep', 2000, 1, 50, 'Raminder Ahlawat', 'com.lnf.questionnaire.datamodel.formatter.SleepFormatter', 'selection'),</v>
      </c>
      <c r="AC6" t="str">
        <f t="shared" si="2"/>
        <v>3000</v>
      </c>
      <c r="AD6" t="str">
        <f t="shared" si="3"/>
        <v>Sleep</v>
      </c>
      <c r="AE6" t="str">
        <f t="shared" si="4"/>
        <v>Sleep</v>
      </c>
      <c r="AF6" t="str">
        <f t="shared" si="5"/>
        <v>2000</v>
      </c>
      <c r="AG6" t="str">
        <f t="shared" si="6"/>
        <v>1</v>
      </c>
      <c r="AH6" t="str">
        <f t="shared" si="7"/>
        <v>50</v>
      </c>
      <c r="AI6" t="str">
        <f t="shared" si="8"/>
        <v>com.lnf.questionnaire.datamodel.formatter.SleepFormatter</v>
      </c>
      <c r="AJ6" t="str">
        <f t="shared" si="9"/>
        <v>selection</v>
      </c>
    </row>
    <row r="7" spans="1:39" x14ac:dyDescent="0.35">
      <c r="A7" t="s">
        <v>1354</v>
      </c>
      <c r="B7" t="s">
        <v>184</v>
      </c>
      <c r="C7" t="s">
        <v>1</v>
      </c>
      <c r="D7" t="s">
        <v>1351</v>
      </c>
      <c r="E7" t="s">
        <v>1346</v>
      </c>
      <c r="F7" t="s">
        <v>1355</v>
      </c>
      <c r="G7" t="s">
        <v>1339</v>
      </c>
      <c r="H7" t="s">
        <v>1340</v>
      </c>
      <c r="J7" t="str">
        <f t="shared" si="1"/>
        <v>(4000, 'Sickness Frequency', 'How often do you fall sick?', 3000, 2, 60, 'Raminder Ahlawat', 'com.lnf.questionnaire.datamodel.formatter.DefaultFormatter', 'selection'),</v>
      </c>
      <c r="AC7" t="str">
        <f t="shared" si="2"/>
        <v>4000</v>
      </c>
      <c r="AD7" t="str">
        <f t="shared" si="3"/>
        <v>Sickness Frequency</v>
      </c>
      <c r="AE7" t="str">
        <f t="shared" si="4"/>
        <v>How often do you fall sick?</v>
      </c>
      <c r="AF7" t="str">
        <f t="shared" si="5"/>
        <v>3000</v>
      </c>
      <c r="AG7" t="str">
        <f t="shared" si="6"/>
        <v>2</v>
      </c>
      <c r="AH7" t="str">
        <f t="shared" si="7"/>
        <v>60</v>
      </c>
      <c r="AI7" t="str">
        <f t="shared" si="8"/>
        <v>com.lnf.questionnaire.datamodel.formatter.DefaultFormatter</v>
      </c>
      <c r="AJ7" t="str">
        <f t="shared" si="9"/>
        <v>selection</v>
      </c>
    </row>
    <row r="8" spans="1:39" x14ac:dyDescent="0.35">
      <c r="A8" t="s">
        <v>1356</v>
      </c>
      <c r="B8" t="s">
        <v>3</v>
      </c>
      <c r="C8" t="s">
        <v>185</v>
      </c>
      <c r="D8" t="s">
        <v>1351</v>
      </c>
      <c r="E8" t="s">
        <v>1346</v>
      </c>
      <c r="F8" t="s">
        <v>1357</v>
      </c>
      <c r="G8" t="s">
        <v>1339</v>
      </c>
      <c r="H8" t="s">
        <v>1340</v>
      </c>
      <c r="J8" t="str">
        <f t="shared" si="1"/>
        <v>(5000, 'Bowel Habits', 'How do you describe your bowel movement?', 3000, 2, 70, 'Raminder Ahlawat', 'com.lnf.questionnaire.datamodel.formatter.DefaultFormatter', 'selection'),</v>
      </c>
      <c r="AC8" t="str">
        <f t="shared" si="2"/>
        <v>5000</v>
      </c>
      <c r="AD8" t="str">
        <f t="shared" si="3"/>
        <v>Bowel Habits</v>
      </c>
      <c r="AE8" t="str">
        <f t="shared" si="4"/>
        <v>How do you describe your bowel movement?</v>
      </c>
      <c r="AF8" t="str">
        <f t="shared" si="5"/>
        <v>3000</v>
      </c>
      <c r="AG8" t="str">
        <f t="shared" si="6"/>
        <v>2</v>
      </c>
      <c r="AH8" t="str">
        <f t="shared" si="7"/>
        <v>70</v>
      </c>
      <c r="AI8" t="str">
        <f t="shared" si="8"/>
        <v>com.lnf.questionnaire.datamodel.formatter.DefaultFormatter</v>
      </c>
      <c r="AJ8" t="str">
        <f t="shared" si="9"/>
        <v>selection</v>
      </c>
    </row>
    <row r="9" spans="1:39" x14ac:dyDescent="0.35">
      <c r="A9" t="s">
        <v>1358</v>
      </c>
      <c r="B9" t="s">
        <v>165</v>
      </c>
      <c r="C9" t="s">
        <v>5</v>
      </c>
      <c r="D9" t="s">
        <v>1345</v>
      </c>
      <c r="E9" t="s">
        <v>1359</v>
      </c>
      <c r="F9" t="s">
        <v>1360</v>
      </c>
      <c r="G9" t="s">
        <v>1361</v>
      </c>
      <c r="H9" t="s">
        <v>1340</v>
      </c>
      <c r="J9" t="str">
        <f t="shared" si="1"/>
        <v>(6000, 'Exercise', 'Exercise Regime', 2000, 5, 80, 'Raminder Ahlawat', 'com.lnf.questionnaire.datamodel.formatter.ExcerciseFormatter', 'selection'),</v>
      </c>
      <c r="AC9" t="str">
        <f t="shared" si="2"/>
        <v>6000</v>
      </c>
      <c r="AD9" t="str">
        <f t="shared" si="3"/>
        <v>Exercise</v>
      </c>
      <c r="AE9" t="str">
        <f t="shared" si="4"/>
        <v>Exercise Regime</v>
      </c>
      <c r="AF9" t="str">
        <f t="shared" si="5"/>
        <v>2000</v>
      </c>
      <c r="AG9" t="str">
        <f t="shared" si="6"/>
        <v>5</v>
      </c>
      <c r="AH9" t="str">
        <f t="shared" si="7"/>
        <v>80</v>
      </c>
      <c r="AI9" t="str">
        <f t="shared" si="8"/>
        <v>com.lnf.questionnaire.datamodel.formatter.ExcerciseFormatter</v>
      </c>
      <c r="AJ9" t="str">
        <f t="shared" si="9"/>
        <v>selection</v>
      </c>
    </row>
    <row r="10" spans="1:39" x14ac:dyDescent="0.35">
      <c r="A10" t="s">
        <v>1362</v>
      </c>
      <c r="B10" t="s">
        <v>166</v>
      </c>
      <c r="C10" t="s">
        <v>166</v>
      </c>
      <c r="D10" t="s">
        <v>1345</v>
      </c>
      <c r="E10" t="s">
        <v>1346</v>
      </c>
      <c r="F10" t="s">
        <v>1363</v>
      </c>
      <c r="G10" t="s">
        <v>1364</v>
      </c>
      <c r="H10" t="s">
        <v>1340</v>
      </c>
      <c r="J10" t="str">
        <f t="shared" si="1"/>
        <v>(7000, 'Water Intake', 'Water Intake', 2000, 2, 90, 'Raminder Ahlawat', 'com.lnf.questionnaire.datamodel.formatter.WaterFormatter', 'selection'),</v>
      </c>
      <c r="AC10" t="str">
        <f t="shared" si="2"/>
        <v>7000</v>
      </c>
      <c r="AD10" t="str">
        <f t="shared" si="3"/>
        <v>Water Intake</v>
      </c>
      <c r="AE10" t="str">
        <f t="shared" si="4"/>
        <v>Water Intake</v>
      </c>
      <c r="AF10" t="str">
        <f t="shared" si="5"/>
        <v>2000</v>
      </c>
      <c r="AG10" t="str">
        <f t="shared" si="6"/>
        <v>2</v>
      </c>
      <c r="AH10" t="str">
        <f t="shared" si="7"/>
        <v>90</v>
      </c>
      <c r="AI10" t="str">
        <f t="shared" si="8"/>
        <v>com.lnf.questionnaire.datamodel.formatter.WaterFormatter</v>
      </c>
      <c r="AJ10" t="str">
        <f t="shared" si="9"/>
        <v>selection</v>
      </c>
    </row>
    <row r="11" spans="1:39" x14ac:dyDescent="0.35">
      <c r="A11" t="s">
        <v>1365</v>
      </c>
      <c r="B11" t="s">
        <v>167</v>
      </c>
      <c r="C11" t="s">
        <v>186</v>
      </c>
      <c r="D11" t="s">
        <v>1351</v>
      </c>
      <c r="E11" t="s">
        <v>1346</v>
      </c>
      <c r="F11" t="s">
        <v>1335</v>
      </c>
      <c r="G11" t="s">
        <v>1339</v>
      </c>
      <c r="H11" t="s">
        <v>1340</v>
      </c>
      <c r="J11" t="str">
        <f t="shared" si="1"/>
        <v>(8000, 'Bad breath', 'Do you have bad breath?', 3000, 2, 100, 'Raminder Ahlawat', 'com.lnf.questionnaire.datamodel.formatter.DefaultFormatter', 'selection'),</v>
      </c>
      <c r="AC11" t="str">
        <f t="shared" si="2"/>
        <v>8000</v>
      </c>
      <c r="AD11" t="str">
        <f t="shared" si="3"/>
        <v>Bad breath</v>
      </c>
      <c r="AE11" t="str">
        <f t="shared" si="4"/>
        <v>Do you have bad breath?</v>
      </c>
      <c r="AF11" t="str">
        <f t="shared" si="5"/>
        <v>3000</v>
      </c>
      <c r="AG11" t="str">
        <f t="shared" si="6"/>
        <v>2</v>
      </c>
      <c r="AH11" t="str">
        <f t="shared" si="7"/>
        <v>100</v>
      </c>
      <c r="AI11" t="str">
        <f t="shared" si="8"/>
        <v>com.lnf.questionnaire.datamodel.formatter.DefaultFormatter</v>
      </c>
      <c r="AJ11" t="str">
        <f t="shared" si="9"/>
        <v>selection</v>
      </c>
    </row>
    <row r="12" spans="1:39" x14ac:dyDescent="0.35">
      <c r="A12" t="s">
        <v>1366</v>
      </c>
      <c r="B12" t="s">
        <v>168</v>
      </c>
      <c r="C12" t="s">
        <v>187</v>
      </c>
      <c r="D12" t="s">
        <v>1351</v>
      </c>
      <c r="E12" t="s">
        <v>1367</v>
      </c>
      <c r="F12" t="s">
        <v>1368</v>
      </c>
      <c r="G12" t="s">
        <v>1339</v>
      </c>
      <c r="H12" t="s">
        <v>1340</v>
      </c>
      <c r="J12" t="str">
        <f t="shared" si="1"/>
        <v>(9000, 'Allergies', 'Do you have any allergies?', 3000, 4, 110, 'Raminder Ahlawat', 'com.lnf.questionnaire.datamodel.formatter.DefaultFormatter', 'selection'),</v>
      </c>
      <c r="AC12" t="str">
        <f t="shared" si="2"/>
        <v>9000</v>
      </c>
      <c r="AD12" t="str">
        <f t="shared" si="3"/>
        <v>Allergies</v>
      </c>
      <c r="AE12" t="str">
        <f t="shared" si="4"/>
        <v>Do you have any allergies?</v>
      </c>
      <c r="AF12" t="str">
        <f t="shared" si="5"/>
        <v>3000</v>
      </c>
      <c r="AG12" t="str">
        <f t="shared" si="6"/>
        <v>4</v>
      </c>
      <c r="AH12" t="str">
        <f t="shared" si="7"/>
        <v>110</v>
      </c>
      <c r="AI12" t="str">
        <f t="shared" si="8"/>
        <v>com.lnf.questionnaire.datamodel.formatter.DefaultFormatter</v>
      </c>
      <c r="AJ12" t="str">
        <f t="shared" si="9"/>
        <v>selection</v>
      </c>
    </row>
    <row r="13" spans="1:39" x14ac:dyDescent="0.35">
      <c r="A13" t="s">
        <v>1369</v>
      </c>
      <c r="B13" t="s">
        <v>169</v>
      </c>
      <c r="C13" t="s">
        <v>720</v>
      </c>
      <c r="D13" t="s">
        <v>1351</v>
      </c>
      <c r="E13" t="s">
        <v>1367</v>
      </c>
      <c r="F13" t="s">
        <v>1370</v>
      </c>
      <c r="G13" t="s">
        <v>1339</v>
      </c>
      <c r="H13" t="s">
        <v>1340</v>
      </c>
      <c r="J13" t="str">
        <f t="shared" si="1"/>
        <v>(10000, 'Binge on food', 'Do you binge on food?', 3000, 4, 120, 'Raminder Ahlawat', 'com.lnf.questionnaire.datamodel.formatter.DefaultFormatter', 'selection'),</v>
      </c>
      <c r="AC13" t="str">
        <f t="shared" si="2"/>
        <v>10000</v>
      </c>
      <c r="AD13" t="str">
        <f t="shared" si="3"/>
        <v>Binge on food</v>
      </c>
      <c r="AE13" t="str">
        <f t="shared" si="4"/>
        <v>Do you binge on food?</v>
      </c>
      <c r="AF13" t="str">
        <f t="shared" si="5"/>
        <v>3000</v>
      </c>
      <c r="AG13" t="str">
        <f t="shared" si="6"/>
        <v>4</v>
      </c>
      <c r="AH13" t="str">
        <f t="shared" si="7"/>
        <v>120</v>
      </c>
      <c r="AI13" t="str">
        <f t="shared" si="8"/>
        <v>com.lnf.questionnaire.datamodel.formatter.DefaultFormatter</v>
      </c>
      <c r="AJ13" t="str">
        <f t="shared" si="9"/>
        <v>selection</v>
      </c>
    </row>
    <row r="14" spans="1:39" x14ac:dyDescent="0.35">
      <c r="A14" t="s">
        <v>1371</v>
      </c>
      <c r="B14" t="s">
        <v>170</v>
      </c>
      <c r="C14" t="s">
        <v>188</v>
      </c>
      <c r="D14" t="s">
        <v>1351</v>
      </c>
      <c r="E14" t="s">
        <v>1367</v>
      </c>
      <c r="F14" t="s">
        <v>1372</v>
      </c>
      <c r="G14" t="s">
        <v>1339</v>
      </c>
      <c r="H14" t="s">
        <v>1340</v>
      </c>
      <c r="J14" t="str">
        <f t="shared" si="1"/>
        <v>(11000, 'Depressed or anxious', 'Do you usually feel sad, depressed or anxious?', 3000, 4, 130, 'Raminder Ahlawat', 'com.lnf.questionnaire.datamodel.formatter.DefaultFormatter', 'selection'),</v>
      </c>
      <c r="AC14" t="str">
        <f t="shared" si="2"/>
        <v>11000</v>
      </c>
      <c r="AD14" t="str">
        <f t="shared" si="3"/>
        <v>Depressed or anxious</v>
      </c>
      <c r="AE14" t="str">
        <f t="shared" si="4"/>
        <v>Do you usually feel sad, depressed or anxious?</v>
      </c>
      <c r="AF14" t="str">
        <f t="shared" si="5"/>
        <v>3000</v>
      </c>
      <c r="AG14" t="str">
        <f t="shared" si="6"/>
        <v>4</v>
      </c>
      <c r="AH14" t="str">
        <f t="shared" si="7"/>
        <v>130</v>
      </c>
      <c r="AI14" t="str">
        <f t="shared" si="8"/>
        <v>com.lnf.questionnaire.datamodel.formatter.DefaultFormatter</v>
      </c>
      <c r="AJ14" t="str">
        <f t="shared" si="9"/>
        <v>selection</v>
      </c>
    </row>
    <row r="15" spans="1:39" x14ac:dyDescent="0.35">
      <c r="A15" t="s">
        <v>1373</v>
      </c>
      <c r="B15" t="s">
        <v>16</v>
      </c>
      <c r="C15" t="s">
        <v>189</v>
      </c>
      <c r="D15" t="s">
        <v>1351</v>
      </c>
      <c r="E15" t="s">
        <v>1346</v>
      </c>
      <c r="F15" t="s">
        <v>1374</v>
      </c>
      <c r="G15" t="s">
        <v>1339</v>
      </c>
      <c r="H15" t="s">
        <v>1340</v>
      </c>
      <c r="J15" t="str">
        <f t="shared" si="1"/>
        <v>(12000, 'Hair Health', 'How will you describe the health of you hair?', 3000, 2, 140, 'Raminder Ahlawat', 'com.lnf.questionnaire.datamodel.formatter.DefaultFormatter', 'selection'),</v>
      </c>
      <c r="AC15" t="str">
        <f t="shared" si="2"/>
        <v>12000</v>
      </c>
      <c r="AD15" t="str">
        <f t="shared" si="3"/>
        <v>Hair Health</v>
      </c>
      <c r="AE15" t="str">
        <f t="shared" si="4"/>
        <v>How will you describe the health of you hair?</v>
      </c>
      <c r="AF15" t="str">
        <f t="shared" si="5"/>
        <v>3000</v>
      </c>
      <c r="AG15" t="str">
        <f t="shared" si="6"/>
        <v>2</v>
      </c>
      <c r="AH15" t="str">
        <f t="shared" si="7"/>
        <v>140</v>
      </c>
      <c r="AI15" t="str">
        <f t="shared" si="8"/>
        <v>com.lnf.questionnaire.datamodel.formatter.DefaultFormatter</v>
      </c>
      <c r="AJ15" t="str">
        <f t="shared" si="9"/>
        <v>selection</v>
      </c>
    </row>
    <row r="16" spans="1:39" x14ac:dyDescent="0.35">
      <c r="A16" t="s">
        <v>1375</v>
      </c>
      <c r="B16" t="s">
        <v>21</v>
      </c>
      <c r="C16" t="s">
        <v>190</v>
      </c>
      <c r="D16" t="s">
        <v>1351</v>
      </c>
      <c r="E16" t="s">
        <v>1346</v>
      </c>
      <c r="F16" t="s">
        <v>1376</v>
      </c>
      <c r="G16" t="s">
        <v>1339</v>
      </c>
      <c r="H16" t="s">
        <v>1340</v>
      </c>
      <c r="J16" t="str">
        <f t="shared" si="1"/>
        <v>(13000, 'Skin &amp; Wrinkles', 'How would you describe skin health?', 3000, 2, 150, 'Raminder Ahlawat', 'com.lnf.questionnaire.datamodel.formatter.DefaultFormatter', 'selection'),</v>
      </c>
      <c r="AC16" t="str">
        <f t="shared" si="2"/>
        <v>13000</v>
      </c>
      <c r="AD16" t="str">
        <f t="shared" si="3"/>
        <v>Skin &amp; Wrinkles</v>
      </c>
      <c r="AE16" t="str">
        <f t="shared" si="4"/>
        <v>How would you describe skin health?</v>
      </c>
      <c r="AF16" t="str">
        <f t="shared" si="5"/>
        <v>3000</v>
      </c>
      <c r="AG16" t="str">
        <f t="shared" si="6"/>
        <v>2</v>
      </c>
      <c r="AH16" t="str">
        <f t="shared" si="7"/>
        <v>150</v>
      </c>
      <c r="AI16" t="str">
        <f t="shared" si="8"/>
        <v>com.lnf.questionnaire.datamodel.formatter.DefaultFormatter</v>
      </c>
      <c r="AJ16" t="str">
        <f t="shared" si="9"/>
        <v>selection</v>
      </c>
    </row>
    <row r="17" spans="1:36" x14ac:dyDescent="0.35">
      <c r="A17" t="s">
        <v>1377</v>
      </c>
      <c r="B17" t="s">
        <v>54</v>
      </c>
      <c r="C17" t="s">
        <v>54</v>
      </c>
      <c r="D17" t="s">
        <v>1351</v>
      </c>
      <c r="E17" t="s">
        <v>1346</v>
      </c>
      <c r="F17" t="s">
        <v>1378</v>
      </c>
      <c r="G17" t="s">
        <v>1339</v>
      </c>
      <c r="H17" t="s">
        <v>1340</v>
      </c>
      <c r="J17" t="str">
        <f t="shared" si="1"/>
        <v>(14000, 'Menstrual Health', 'Menstrual Health', 3000, 2, 160, 'Raminder Ahlawat', 'com.lnf.questionnaire.datamodel.formatter.DefaultFormatter', 'selection'),</v>
      </c>
      <c r="AC17" t="str">
        <f t="shared" si="2"/>
        <v>14000</v>
      </c>
      <c r="AD17" t="str">
        <f t="shared" si="3"/>
        <v>Menstrual Health</v>
      </c>
      <c r="AE17" t="str">
        <f t="shared" si="4"/>
        <v>Menstrual Health</v>
      </c>
      <c r="AF17" t="str">
        <f t="shared" si="5"/>
        <v>3000</v>
      </c>
      <c r="AG17" t="str">
        <f t="shared" si="6"/>
        <v>2</v>
      </c>
      <c r="AH17" t="str">
        <f t="shared" si="7"/>
        <v>160</v>
      </c>
      <c r="AI17" t="str">
        <f t="shared" si="8"/>
        <v>com.lnf.questionnaire.datamodel.formatter.DefaultFormatter</v>
      </c>
      <c r="AJ17" t="str">
        <f t="shared" si="9"/>
        <v>selection</v>
      </c>
    </row>
    <row r="18" spans="1:36" x14ac:dyDescent="0.35">
      <c r="A18" t="s">
        <v>1379</v>
      </c>
      <c r="B18" t="s">
        <v>55</v>
      </c>
      <c r="C18" t="s">
        <v>55</v>
      </c>
      <c r="D18" t="s">
        <v>1345</v>
      </c>
      <c r="E18" t="s">
        <v>1380</v>
      </c>
      <c r="F18" t="s">
        <v>1381</v>
      </c>
      <c r="G18" t="s">
        <v>1382</v>
      </c>
      <c r="H18" t="s">
        <v>1340</v>
      </c>
      <c r="J18" t="str">
        <f t="shared" si="1"/>
        <v>(15000, 'Fasting', 'Fasting', 2000, 3, 170, 'Raminder Ahlawat', 'com.lnf.questionnaire.datamodel.formatter.FastingFormatter', 'selection'),</v>
      </c>
      <c r="AC18" t="str">
        <f t="shared" si="2"/>
        <v>15000</v>
      </c>
      <c r="AD18" t="str">
        <f t="shared" si="3"/>
        <v>Fasting</v>
      </c>
      <c r="AE18" t="str">
        <f t="shared" si="4"/>
        <v>Fasting</v>
      </c>
      <c r="AF18" t="str">
        <f t="shared" si="5"/>
        <v>2000</v>
      </c>
      <c r="AG18" t="str">
        <f t="shared" si="6"/>
        <v>3</v>
      </c>
      <c r="AH18" t="str">
        <f t="shared" si="7"/>
        <v>170</v>
      </c>
      <c r="AI18" t="str">
        <f t="shared" si="8"/>
        <v>com.lnf.questionnaire.datamodel.formatter.FastingFormatter</v>
      </c>
      <c r="AJ18" t="str">
        <f t="shared" si="9"/>
        <v>selection</v>
      </c>
    </row>
    <row r="19" spans="1:36" x14ac:dyDescent="0.35">
      <c r="A19" t="s">
        <v>1383</v>
      </c>
      <c r="B19" t="s">
        <v>56</v>
      </c>
      <c r="C19" t="s">
        <v>56</v>
      </c>
      <c r="D19" t="s">
        <v>1345</v>
      </c>
      <c r="E19" t="s">
        <v>1367</v>
      </c>
      <c r="F19" t="s">
        <v>1384</v>
      </c>
      <c r="G19" t="s">
        <v>1385</v>
      </c>
      <c r="H19" t="s">
        <v>730</v>
      </c>
      <c r="J19" t="str">
        <f t="shared" si="1"/>
        <v>(16000, 'Phq9', 'Phq9', 2000, 4, 180, 'Raminder Ahlawat', 'com.lnf.questionnaire.datamodel.formatter.Phq9Formatter', 'decimal'),</v>
      </c>
      <c r="AC19" t="str">
        <f t="shared" si="2"/>
        <v>16000</v>
      </c>
      <c r="AD19" t="str">
        <f t="shared" si="3"/>
        <v>Phq9</v>
      </c>
      <c r="AE19" t="str">
        <f t="shared" si="4"/>
        <v>Phq9</v>
      </c>
      <c r="AF19" t="str">
        <f t="shared" si="5"/>
        <v>2000</v>
      </c>
      <c r="AG19" t="str">
        <f t="shared" si="6"/>
        <v>4</v>
      </c>
      <c r="AH19" t="str">
        <f t="shared" si="7"/>
        <v>180</v>
      </c>
      <c r="AI19" t="str">
        <f t="shared" si="8"/>
        <v>com.lnf.questionnaire.datamodel.formatter.Phq9Formatter</v>
      </c>
      <c r="AJ19" t="str">
        <f t="shared" si="9"/>
        <v>decimal</v>
      </c>
    </row>
    <row r="20" spans="1:36" x14ac:dyDescent="0.35">
      <c r="A20" t="s">
        <v>1386</v>
      </c>
      <c r="B20" t="s">
        <v>57</v>
      </c>
      <c r="C20" t="s">
        <v>57</v>
      </c>
      <c r="D20" t="s">
        <v>1345</v>
      </c>
      <c r="E20" t="s">
        <v>1346</v>
      </c>
      <c r="F20" t="s">
        <v>1387</v>
      </c>
      <c r="G20" t="s">
        <v>1388</v>
      </c>
      <c r="H20" t="s">
        <v>1389</v>
      </c>
      <c r="J20" t="str">
        <f t="shared" si="1"/>
        <v>(17000, 'BP', 'BP', 2000, 2, 190, 'Raminder Ahlawat', 'com.lnf.questionnaire.datamodel.formatter.BloodPressureFormatter', 'blood-pressure'),</v>
      </c>
      <c r="AC20" t="str">
        <f t="shared" si="2"/>
        <v>17000</v>
      </c>
      <c r="AD20" t="str">
        <f t="shared" si="3"/>
        <v>BP</v>
      </c>
      <c r="AE20" t="str">
        <f t="shared" si="4"/>
        <v>BP</v>
      </c>
      <c r="AF20" t="str">
        <f t="shared" si="5"/>
        <v>2000</v>
      </c>
      <c r="AG20" t="str">
        <f t="shared" si="6"/>
        <v>2</v>
      </c>
      <c r="AH20" t="str">
        <f t="shared" si="7"/>
        <v>190</v>
      </c>
      <c r="AI20" t="str">
        <f t="shared" si="8"/>
        <v>com.lnf.questionnaire.datamodel.formatter.BloodPressureFormatter</v>
      </c>
      <c r="AJ20" t="str">
        <f t="shared" si="9"/>
        <v>blood-pressure</v>
      </c>
    </row>
    <row r="21" spans="1:36" x14ac:dyDescent="0.35">
      <c r="A21" t="s">
        <v>1390</v>
      </c>
      <c r="B21" t="s">
        <v>58</v>
      </c>
      <c r="C21" t="s">
        <v>58</v>
      </c>
      <c r="D21" t="s">
        <v>1345</v>
      </c>
      <c r="E21" t="s">
        <v>1380</v>
      </c>
      <c r="F21" t="s">
        <v>1341</v>
      </c>
      <c r="G21" t="s">
        <v>1391</v>
      </c>
      <c r="H21" t="s">
        <v>1392</v>
      </c>
      <c r="J21" t="str">
        <f t="shared" si="1"/>
        <v>(18000, 'Glucose', 'Glucose', 2000, 3, 200, 'Raminder Ahlawat', 'com.lnf.questionnaire.datamodel.formatter.BloodGlucoseFormatter', 'blood-glucose'),</v>
      </c>
      <c r="AC21" t="str">
        <f t="shared" si="2"/>
        <v>18000</v>
      </c>
      <c r="AD21" t="str">
        <f t="shared" si="3"/>
        <v>Glucose</v>
      </c>
      <c r="AE21" t="str">
        <f t="shared" si="4"/>
        <v>Glucose</v>
      </c>
      <c r="AF21" t="str">
        <f t="shared" si="5"/>
        <v>2000</v>
      </c>
      <c r="AG21" t="str">
        <f t="shared" si="6"/>
        <v>3</v>
      </c>
      <c r="AH21" t="str">
        <f t="shared" si="7"/>
        <v>200</v>
      </c>
      <c r="AI21" t="str">
        <f t="shared" si="8"/>
        <v>com.lnf.questionnaire.datamodel.formatter.BloodGlucoseFormatter</v>
      </c>
      <c r="AJ21" t="str">
        <f t="shared" si="9"/>
        <v>blood-glucose</v>
      </c>
    </row>
    <row r="22" spans="1:36" x14ac:dyDescent="0.35">
      <c r="A22" t="s">
        <v>1393</v>
      </c>
      <c r="B22" t="s">
        <v>848</v>
      </c>
      <c r="C22" t="s">
        <v>848</v>
      </c>
      <c r="D22" t="s">
        <v>1345</v>
      </c>
      <c r="E22" t="s">
        <v>1380</v>
      </c>
      <c r="F22" t="s">
        <v>1394</v>
      </c>
      <c r="G22" t="s">
        <v>1395</v>
      </c>
      <c r="H22" t="s">
        <v>1340</v>
      </c>
      <c r="J22" t="str">
        <f t="shared" si="1"/>
        <v>(19000, 'Pain', 'Pain', 2000, 3, 210, 'Raminder Ahlawat', 'com.lnf.questionnaire.datamodel.formatter.PainFormatter', 'selection'),</v>
      </c>
      <c r="AC22" t="str">
        <f t="shared" si="2"/>
        <v>19000</v>
      </c>
      <c r="AD22" t="str">
        <f t="shared" si="3"/>
        <v>Pain</v>
      </c>
      <c r="AE22" t="str">
        <f t="shared" si="4"/>
        <v>Pain</v>
      </c>
      <c r="AF22" t="str">
        <f t="shared" si="5"/>
        <v>2000</v>
      </c>
      <c r="AG22" t="str">
        <f t="shared" si="6"/>
        <v>3</v>
      </c>
      <c r="AH22" t="str">
        <f t="shared" si="7"/>
        <v>210</v>
      </c>
      <c r="AI22" t="str">
        <f t="shared" si="8"/>
        <v>com.lnf.questionnaire.datamodel.formatter.PainFormatter</v>
      </c>
      <c r="AJ22" t="str">
        <f t="shared" si="9"/>
        <v>selection</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8BB72-DDC6-46EF-ADEF-ABCDE5478AB5}">
  <sheetPr codeName="Sheet9"/>
  <dimension ref="A1:I90"/>
  <sheetViews>
    <sheetView topLeftCell="A61" workbookViewId="0">
      <selection activeCell="B73" sqref="B73"/>
    </sheetView>
  </sheetViews>
  <sheetFormatPr defaultRowHeight="14.5" x14ac:dyDescent="0.35"/>
  <cols>
    <col min="2" max="2" width="23" customWidth="1"/>
    <col min="3" max="3" width="22.453125" bestFit="1" customWidth="1"/>
    <col min="4" max="4" width="23.54296875" customWidth="1"/>
    <col min="5" max="5" width="7.7265625" bestFit="1" customWidth="1"/>
  </cols>
  <sheetData>
    <row r="1" spans="1:9" x14ac:dyDescent="0.35">
      <c r="A1" t="s">
        <v>148</v>
      </c>
      <c r="B1" t="s">
        <v>156</v>
      </c>
      <c r="C1" t="s">
        <v>221</v>
      </c>
      <c r="D1" t="s">
        <v>183</v>
      </c>
      <c r="E1" t="s">
        <v>174</v>
      </c>
      <c r="F1" t="s">
        <v>153</v>
      </c>
      <c r="I1" t="s">
        <v>1396</v>
      </c>
    </row>
    <row r="2" spans="1:9" x14ac:dyDescent="0.35">
      <c r="A2">
        <v>100</v>
      </c>
      <c r="B2" t="s">
        <v>849</v>
      </c>
      <c r="C2">
        <v>100</v>
      </c>
      <c r="D2" t="s">
        <v>171</v>
      </c>
      <c r="E2">
        <v>2</v>
      </c>
      <c r="F2">
        <v>1</v>
      </c>
      <c r="I2" t="str">
        <f>CONCATENATE("(", A2,", '",B2,"', ",C2,", '",D2, "', ", E2, ", ", F2, ", 'Raminder Ahlawat'),")</f>
        <v>(100, 'Woman', 100, 'Gender', 2, 1, 'Raminder Ahlawat'),</v>
      </c>
    </row>
    <row r="3" spans="1:9" x14ac:dyDescent="0.35">
      <c r="A3">
        <v>101</v>
      </c>
      <c r="B3" t="s">
        <v>850</v>
      </c>
      <c r="C3">
        <v>100</v>
      </c>
      <c r="D3" t="s">
        <v>171</v>
      </c>
      <c r="E3">
        <v>1</v>
      </c>
      <c r="F3">
        <v>2</v>
      </c>
      <c r="I3" t="str">
        <f t="shared" ref="I3:I66" si="0">CONCATENATE("(", A3,", '",B3,"', ",C3,", '",D3, "', ", E3, ", ", F3, ", 'Raminder Ahlawat'),")</f>
        <v>(101, 'Man', 100, 'Gender', 1, 2, 'Raminder Ahlawat'),</v>
      </c>
    </row>
    <row r="4" spans="1:9" x14ac:dyDescent="0.35">
      <c r="A4">
        <v>200</v>
      </c>
      <c r="B4" s="35" t="s">
        <v>177</v>
      </c>
      <c r="C4">
        <v>200</v>
      </c>
      <c r="D4" s="35" t="s">
        <v>172</v>
      </c>
      <c r="E4">
        <v>8</v>
      </c>
      <c r="F4">
        <v>1</v>
      </c>
      <c r="I4" t="str">
        <f t="shared" si="0"/>
        <v>(200, '20 years under', 200, 'Age', 8, 1, 'Raminder Ahlawat'),</v>
      </c>
    </row>
    <row r="5" spans="1:9" x14ac:dyDescent="0.35">
      <c r="A5">
        <v>201</v>
      </c>
      <c r="B5" s="35" t="s">
        <v>207</v>
      </c>
      <c r="C5">
        <v>200</v>
      </c>
      <c r="D5" s="35" t="s">
        <v>172</v>
      </c>
      <c r="E5">
        <v>7</v>
      </c>
      <c r="F5">
        <v>2</v>
      </c>
      <c r="I5" t="str">
        <f t="shared" si="0"/>
        <v>(201, '20 - 29 years', 200, 'Age', 7, 2, 'Raminder Ahlawat'),</v>
      </c>
    </row>
    <row r="6" spans="1:9" x14ac:dyDescent="0.35">
      <c r="A6">
        <v>202</v>
      </c>
      <c r="B6" s="35" t="s">
        <v>208</v>
      </c>
      <c r="C6">
        <v>200</v>
      </c>
      <c r="D6" s="35" t="s">
        <v>172</v>
      </c>
      <c r="E6">
        <v>6</v>
      </c>
      <c r="F6">
        <v>3</v>
      </c>
      <c r="I6" t="str">
        <f t="shared" si="0"/>
        <v>(202, '30 - 39 years', 200, 'Age', 6, 3, 'Raminder Ahlawat'),</v>
      </c>
    </row>
    <row r="7" spans="1:9" x14ac:dyDescent="0.35">
      <c r="A7">
        <v>203</v>
      </c>
      <c r="B7" s="35" t="s">
        <v>209</v>
      </c>
      <c r="C7">
        <v>200</v>
      </c>
      <c r="D7" s="35" t="s">
        <v>172</v>
      </c>
      <c r="E7">
        <v>5</v>
      </c>
      <c r="F7">
        <v>4</v>
      </c>
      <c r="I7" t="str">
        <f t="shared" si="0"/>
        <v>(203, '40 - 49 years', 200, 'Age', 5, 4, 'Raminder Ahlawat'),</v>
      </c>
    </row>
    <row r="8" spans="1:9" x14ac:dyDescent="0.35">
      <c r="A8">
        <v>204</v>
      </c>
      <c r="B8" s="35" t="s">
        <v>210</v>
      </c>
      <c r="C8">
        <v>200</v>
      </c>
      <c r="D8" s="35" t="s">
        <v>172</v>
      </c>
      <c r="E8">
        <v>4</v>
      </c>
      <c r="F8">
        <v>5</v>
      </c>
      <c r="I8" t="str">
        <f t="shared" si="0"/>
        <v>(204, '50 - 59 years', 200, 'Age', 4, 5, 'Raminder Ahlawat'),</v>
      </c>
    </row>
    <row r="9" spans="1:9" x14ac:dyDescent="0.35">
      <c r="A9">
        <v>205</v>
      </c>
      <c r="B9" s="35" t="s">
        <v>211</v>
      </c>
      <c r="C9">
        <v>200</v>
      </c>
      <c r="D9" s="35" t="s">
        <v>172</v>
      </c>
      <c r="E9">
        <v>3</v>
      </c>
      <c r="F9">
        <v>6</v>
      </c>
      <c r="I9" t="str">
        <f t="shared" si="0"/>
        <v>(205, '60 - 69 years', 200, 'Age', 3, 6, 'Raminder Ahlawat'),</v>
      </c>
    </row>
    <row r="10" spans="1:9" x14ac:dyDescent="0.35">
      <c r="A10">
        <v>206</v>
      </c>
      <c r="B10" s="35" t="s">
        <v>212</v>
      </c>
      <c r="C10">
        <v>200</v>
      </c>
      <c r="D10" s="35" t="s">
        <v>172</v>
      </c>
      <c r="E10">
        <v>2</v>
      </c>
      <c r="F10">
        <v>7</v>
      </c>
      <c r="I10" t="str">
        <f t="shared" si="0"/>
        <v>(206, '70 - 79 years', 200, 'Age', 2, 7, 'Raminder Ahlawat'),</v>
      </c>
    </row>
    <row r="11" spans="1:9" x14ac:dyDescent="0.35">
      <c r="A11">
        <v>207</v>
      </c>
      <c r="B11" s="35" t="s">
        <v>178</v>
      </c>
      <c r="C11">
        <v>200</v>
      </c>
      <c r="D11" s="35" t="s">
        <v>172</v>
      </c>
      <c r="E11">
        <v>1</v>
      </c>
      <c r="F11">
        <v>8</v>
      </c>
      <c r="I11" t="str">
        <f t="shared" si="0"/>
        <v>(207, '80 years and over', 200, 'Age', 1, 8, 'Raminder Ahlawat'),</v>
      </c>
    </row>
    <row r="12" spans="1:9" x14ac:dyDescent="0.35">
      <c r="A12">
        <v>1000</v>
      </c>
      <c r="B12" t="s">
        <v>179</v>
      </c>
      <c r="C12">
        <v>1000</v>
      </c>
      <c r="D12" t="s">
        <v>163</v>
      </c>
      <c r="E12">
        <v>2</v>
      </c>
      <c r="F12">
        <v>1</v>
      </c>
      <c r="I12" t="str">
        <f t="shared" si="0"/>
        <v>(1000, 'Under Weight', 1000, 'BMI', 2, 1, 'Raminder Ahlawat'),</v>
      </c>
    </row>
    <row r="13" spans="1:9" x14ac:dyDescent="0.35">
      <c r="A13">
        <v>1001</v>
      </c>
      <c r="B13" t="s">
        <v>180</v>
      </c>
      <c r="C13">
        <v>1000</v>
      </c>
      <c r="D13" t="s">
        <v>163</v>
      </c>
      <c r="E13">
        <v>3</v>
      </c>
      <c r="F13">
        <v>2</v>
      </c>
      <c r="I13" t="str">
        <f t="shared" si="0"/>
        <v>(1001, 'Normal Weight', 1000, 'BMI', 3, 2, 'Raminder Ahlawat'),</v>
      </c>
    </row>
    <row r="14" spans="1:9" x14ac:dyDescent="0.35">
      <c r="A14">
        <v>1002</v>
      </c>
      <c r="B14" t="s">
        <v>718</v>
      </c>
      <c r="C14">
        <v>1000</v>
      </c>
      <c r="D14" t="s">
        <v>163</v>
      </c>
      <c r="E14">
        <v>2</v>
      </c>
      <c r="F14">
        <v>3</v>
      </c>
      <c r="I14" t="str">
        <f t="shared" si="0"/>
        <v>(1002, 'Over Weight', 1000, 'BMI', 2, 3, 'Raminder Ahlawat'),</v>
      </c>
    </row>
    <row r="15" spans="1:9" x14ac:dyDescent="0.35">
      <c r="A15">
        <v>1003</v>
      </c>
      <c r="B15" t="s">
        <v>182</v>
      </c>
      <c r="C15">
        <v>1000</v>
      </c>
      <c r="D15" t="s">
        <v>163</v>
      </c>
      <c r="E15">
        <v>1</v>
      </c>
      <c r="F15">
        <v>4</v>
      </c>
      <c r="I15" t="str">
        <f t="shared" si="0"/>
        <v>(1003, 'Obese', 1000, 'BMI', 1, 4, 'Raminder Ahlawat'),</v>
      </c>
    </row>
    <row r="16" spans="1:9" x14ac:dyDescent="0.35">
      <c r="A16">
        <v>2000</v>
      </c>
      <c r="B16" t="s">
        <v>48</v>
      </c>
      <c r="C16">
        <v>2000</v>
      </c>
      <c r="D16" t="s">
        <v>193</v>
      </c>
      <c r="E16">
        <v>4</v>
      </c>
      <c r="F16">
        <v>1</v>
      </c>
      <c r="I16" t="str">
        <f t="shared" si="0"/>
        <v>(2000, 'Excellent', 2000, 'Waist to Hip', 4, 1, 'Raminder Ahlawat'),</v>
      </c>
    </row>
    <row r="17" spans="1:9" x14ac:dyDescent="0.35">
      <c r="A17">
        <v>2001</v>
      </c>
      <c r="B17" t="s">
        <v>47</v>
      </c>
      <c r="C17">
        <v>2000</v>
      </c>
      <c r="D17" t="s">
        <v>193</v>
      </c>
      <c r="E17">
        <v>3</v>
      </c>
      <c r="F17">
        <v>2</v>
      </c>
      <c r="I17" t="str">
        <f t="shared" si="0"/>
        <v>(2001, 'Good', 2000, 'Waist to Hip', 3, 2, 'Raminder Ahlawat'),</v>
      </c>
    </row>
    <row r="18" spans="1:9" x14ac:dyDescent="0.35">
      <c r="A18">
        <v>2002</v>
      </c>
      <c r="B18" t="s">
        <v>191</v>
      </c>
      <c r="C18">
        <v>2000</v>
      </c>
      <c r="D18" t="s">
        <v>193</v>
      </c>
      <c r="E18">
        <v>2</v>
      </c>
      <c r="F18">
        <v>3</v>
      </c>
      <c r="I18" t="str">
        <f t="shared" si="0"/>
        <v>(2002, 'Average', 2000, 'Waist to Hip', 2, 3, 'Raminder Ahlawat'),</v>
      </c>
    </row>
    <row r="19" spans="1:9" x14ac:dyDescent="0.35">
      <c r="A19">
        <v>2003</v>
      </c>
      <c r="B19" t="s">
        <v>192</v>
      </c>
      <c r="C19">
        <v>2000</v>
      </c>
      <c r="D19" t="s">
        <v>193</v>
      </c>
      <c r="E19">
        <v>1</v>
      </c>
      <c r="F19">
        <v>4</v>
      </c>
      <c r="I19" t="str">
        <f t="shared" si="0"/>
        <v>(2003, 'At Risk', 2000, 'Waist to Hip', 1, 4, 'Raminder Ahlawat'),</v>
      </c>
    </row>
    <row r="20" spans="1:9" x14ac:dyDescent="0.35">
      <c r="A20">
        <v>3000</v>
      </c>
      <c r="B20" t="s">
        <v>231</v>
      </c>
      <c r="C20">
        <v>3000</v>
      </c>
      <c r="D20" t="s">
        <v>164</v>
      </c>
      <c r="E20">
        <v>4</v>
      </c>
      <c r="F20">
        <v>1</v>
      </c>
      <c r="I20" t="str">
        <f t="shared" si="0"/>
        <v>(3000, 'Healthy Sleep', 3000, 'Sleep', 4, 1, 'Raminder Ahlawat'),</v>
      </c>
    </row>
    <row r="21" spans="1:9" x14ac:dyDescent="0.35">
      <c r="A21">
        <v>3001</v>
      </c>
      <c r="B21" t="s">
        <v>232</v>
      </c>
      <c r="C21">
        <v>3000</v>
      </c>
      <c r="D21" t="s">
        <v>164</v>
      </c>
      <c r="E21">
        <v>3</v>
      </c>
      <c r="F21">
        <v>2</v>
      </c>
      <c r="I21" t="str">
        <f t="shared" si="0"/>
        <v>(3001, 'Average Sleep', 3000, 'Sleep', 3, 2, 'Raminder Ahlawat'),</v>
      </c>
    </row>
    <row r="22" spans="1:9" x14ac:dyDescent="0.35">
      <c r="A22">
        <v>3002</v>
      </c>
      <c r="B22" t="s">
        <v>233</v>
      </c>
      <c r="C22">
        <v>3000</v>
      </c>
      <c r="D22" t="s">
        <v>164</v>
      </c>
      <c r="E22">
        <v>2</v>
      </c>
      <c r="F22">
        <v>3</v>
      </c>
      <c r="I22" t="str">
        <f t="shared" si="0"/>
        <v>(3002, 'Under Sleep', 3000, 'Sleep', 2, 3, 'Raminder Ahlawat'),</v>
      </c>
    </row>
    <row r="23" spans="1:9" x14ac:dyDescent="0.35">
      <c r="A23">
        <v>3003</v>
      </c>
      <c r="B23" t="s">
        <v>234</v>
      </c>
      <c r="C23">
        <v>3000</v>
      </c>
      <c r="D23" t="s">
        <v>164</v>
      </c>
      <c r="E23">
        <v>1</v>
      </c>
      <c r="F23">
        <v>4</v>
      </c>
      <c r="I23" t="str">
        <f t="shared" si="0"/>
        <v>(3003, 'Sleep Deprived', 3000, 'Sleep', 1, 4, 'Raminder Ahlawat'),</v>
      </c>
    </row>
    <row r="24" spans="1:9" x14ac:dyDescent="0.35">
      <c r="A24">
        <v>4000</v>
      </c>
      <c r="B24" t="s">
        <v>2</v>
      </c>
      <c r="C24">
        <v>4000</v>
      </c>
      <c r="D24" t="s">
        <v>184</v>
      </c>
      <c r="E24">
        <v>4</v>
      </c>
      <c r="F24">
        <v>1</v>
      </c>
      <c r="I24" t="str">
        <f t="shared" si="0"/>
        <v>(4000, 'Never', 4000, 'Sickness Frequency', 4, 1, 'Raminder Ahlawat'),</v>
      </c>
    </row>
    <row r="25" spans="1:9" x14ac:dyDescent="0.35">
      <c r="A25">
        <v>4001</v>
      </c>
      <c r="B25" t="s">
        <v>75</v>
      </c>
      <c r="C25">
        <v>4000</v>
      </c>
      <c r="D25" t="s">
        <v>184</v>
      </c>
      <c r="E25">
        <v>3</v>
      </c>
      <c r="F25">
        <v>2</v>
      </c>
      <c r="I25" t="str">
        <f t="shared" si="0"/>
        <v>(4001, 'Once a Year', 4000, 'Sickness Frequency', 3, 2, 'Raminder Ahlawat'),</v>
      </c>
    </row>
    <row r="26" spans="1:9" x14ac:dyDescent="0.35">
      <c r="A26">
        <v>4002</v>
      </c>
      <c r="B26" t="s">
        <v>76</v>
      </c>
      <c r="C26">
        <v>4000</v>
      </c>
      <c r="D26" t="s">
        <v>184</v>
      </c>
      <c r="E26">
        <v>2</v>
      </c>
      <c r="F26">
        <v>3</v>
      </c>
      <c r="I26" t="str">
        <f t="shared" si="0"/>
        <v>(4002, 'Twice a Year', 4000, 'Sickness Frequency', 2, 3, 'Raminder Ahlawat'),</v>
      </c>
    </row>
    <row r="27" spans="1:9" x14ac:dyDescent="0.35">
      <c r="A27">
        <v>4003</v>
      </c>
      <c r="B27" t="s">
        <v>235</v>
      </c>
      <c r="C27">
        <v>4000</v>
      </c>
      <c r="D27" t="s">
        <v>184</v>
      </c>
      <c r="E27">
        <v>1</v>
      </c>
      <c r="F27">
        <v>4</v>
      </c>
      <c r="I27" t="str">
        <f t="shared" si="0"/>
        <v>(4003, 'More than 3 Times a Year', 4000, 'Sickness Frequency', 1, 4, 'Raminder Ahlawat'),</v>
      </c>
    </row>
    <row r="28" spans="1:9" x14ac:dyDescent="0.35">
      <c r="A28">
        <v>5000</v>
      </c>
      <c r="B28" t="s">
        <v>78</v>
      </c>
      <c r="C28">
        <v>5000</v>
      </c>
      <c r="D28" t="s">
        <v>3</v>
      </c>
      <c r="E28">
        <v>4</v>
      </c>
      <c r="F28">
        <v>1</v>
      </c>
      <c r="I28" t="str">
        <f t="shared" si="0"/>
        <v>(5000, 'Clear Daily', 5000, 'Bowel Habits', 4, 1, 'Raminder Ahlawat'),</v>
      </c>
    </row>
    <row r="29" spans="1:9" x14ac:dyDescent="0.35">
      <c r="A29">
        <v>5001</v>
      </c>
      <c r="B29" t="s">
        <v>80</v>
      </c>
      <c r="C29">
        <v>5000</v>
      </c>
      <c r="D29" t="s">
        <v>3</v>
      </c>
      <c r="E29">
        <v>3</v>
      </c>
      <c r="F29">
        <v>2</v>
      </c>
      <c r="I29" t="str">
        <f t="shared" si="0"/>
        <v>(5001, 'Clear alternate Day', 5000, 'Bowel Habits', 3, 2, 'Raminder Ahlawat'),</v>
      </c>
    </row>
    <row r="30" spans="1:9" x14ac:dyDescent="0.35">
      <c r="A30">
        <v>5002</v>
      </c>
      <c r="B30" t="s">
        <v>79</v>
      </c>
      <c r="C30">
        <v>5000</v>
      </c>
      <c r="D30" t="s">
        <v>3</v>
      </c>
      <c r="E30">
        <v>2</v>
      </c>
      <c r="F30">
        <v>3</v>
      </c>
      <c r="I30" t="str">
        <f t="shared" si="0"/>
        <v>(5002, 'Clear once a Week', 5000, 'Bowel Habits', 2, 3, 'Raminder Ahlawat'),</v>
      </c>
    </row>
    <row r="31" spans="1:9" x14ac:dyDescent="0.35">
      <c r="A31">
        <v>5003</v>
      </c>
      <c r="B31" t="s">
        <v>4</v>
      </c>
      <c r="C31">
        <v>5000</v>
      </c>
      <c r="D31" t="s">
        <v>3</v>
      </c>
      <c r="E31">
        <v>1</v>
      </c>
      <c r="F31">
        <v>4</v>
      </c>
      <c r="I31" t="str">
        <f t="shared" si="0"/>
        <v>(5003, 'Severe Constipation', 5000, 'Bowel Habits', 1, 4, 'Raminder Ahlawat'),</v>
      </c>
    </row>
    <row r="32" spans="1:9" x14ac:dyDescent="0.35">
      <c r="A32">
        <v>6000</v>
      </c>
      <c r="B32" t="s">
        <v>239</v>
      </c>
      <c r="C32">
        <v>6000</v>
      </c>
      <c r="D32" t="s">
        <v>165</v>
      </c>
      <c r="E32">
        <v>5</v>
      </c>
      <c r="F32">
        <v>1</v>
      </c>
      <c r="I32" t="str">
        <f t="shared" si="0"/>
        <v>(6000, 'Active Lifestyle', 6000, 'Exercise', 5, 1, 'Raminder Ahlawat'),</v>
      </c>
    </row>
    <row r="33" spans="1:9" x14ac:dyDescent="0.35">
      <c r="A33">
        <v>6001</v>
      </c>
      <c r="B33" t="s">
        <v>240</v>
      </c>
      <c r="C33">
        <v>6000</v>
      </c>
      <c r="D33" t="s">
        <v>165</v>
      </c>
      <c r="E33">
        <v>3</v>
      </c>
      <c r="F33">
        <v>2</v>
      </c>
      <c r="I33" t="str">
        <f t="shared" si="0"/>
        <v>(6001, 'Moderate Lifestyle', 6000, 'Exercise', 3, 2, 'Raminder Ahlawat'),</v>
      </c>
    </row>
    <row r="34" spans="1:9" x14ac:dyDescent="0.35">
      <c r="A34">
        <v>6002</v>
      </c>
      <c r="B34" t="s">
        <v>241</v>
      </c>
      <c r="C34">
        <v>6000</v>
      </c>
      <c r="D34" t="s">
        <v>165</v>
      </c>
      <c r="E34">
        <v>0</v>
      </c>
      <c r="F34">
        <v>3</v>
      </c>
      <c r="I34" t="str">
        <f t="shared" si="0"/>
        <v>(6002, 'Sedentary Lifestyle', 6000, 'Exercise', 0, 3, 'Raminder Ahlawat'),</v>
      </c>
    </row>
    <row r="35" spans="1:9" x14ac:dyDescent="0.35">
      <c r="A35">
        <v>7000</v>
      </c>
      <c r="B35" t="s">
        <v>242</v>
      </c>
      <c r="C35">
        <v>7000</v>
      </c>
      <c r="D35" t="s">
        <v>166</v>
      </c>
      <c r="E35">
        <v>4</v>
      </c>
      <c r="F35">
        <v>1</v>
      </c>
      <c r="I35" t="str">
        <f t="shared" si="0"/>
        <v>(7000, 'Excellent Hydration', 7000, 'Water Intake', 4, 1, 'Raminder Ahlawat'),</v>
      </c>
    </row>
    <row r="36" spans="1:9" x14ac:dyDescent="0.35">
      <c r="A36">
        <v>7001</v>
      </c>
      <c r="B36" t="s">
        <v>243</v>
      </c>
      <c r="C36">
        <v>7000</v>
      </c>
      <c r="D36" t="s">
        <v>166</v>
      </c>
      <c r="E36">
        <v>2</v>
      </c>
      <c r="F36">
        <v>2</v>
      </c>
      <c r="I36" t="str">
        <f t="shared" si="0"/>
        <v>(7001, 'Moderate Hyderation', 7000, 'Water Intake', 2, 2, 'Raminder Ahlawat'),</v>
      </c>
    </row>
    <row r="37" spans="1:9" x14ac:dyDescent="0.35">
      <c r="A37">
        <v>7002</v>
      </c>
      <c r="B37" t="s">
        <v>249</v>
      </c>
      <c r="C37">
        <v>7000</v>
      </c>
      <c r="D37" t="s">
        <v>166</v>
      </c>
      <c r="E37">
        <v>0</v>
      </c>
      <c r="F37">
        <v>3</v>
      </c>
      <c r="I37" t="str">
        <f t="shared" si="0"/>
        <v>(7002, 'Inadequate Hydration', 7000, 'Water Intake', 0, 3, 'Raminder Ahlawat'),</v>
      </c>
    </row>
    <row r="38" spans="1:9" x14ac:dyDescent="0.35">
      <c r="A38">
        <v>8000</v>
      </c>
      <c r="B38" t="s">
        <v>2</v>
      </c>
      <c r="C38">
        <v>8000</v>
      </c>
      <c r="D38" t="s">
        <v>167</v>
      </c>
      <c r="E38">
        <v>4</v>
      </c>
      <c r="F38">
        <v>1</v>
      </c>
      <c r="I38" t="str">
        <f t="shared" si="0"/>
        <v>(8000, 'Never', 8000, 'Bad breath', 4, 1, 'Raminder Ahlawat'),</v>
      </c>
    </row>
    <row r="39" spans="1:9" x14ac:dyDescent="0.35">
      <c r="A39">
        <v>8001</v>
      </c>
      <c r="B39" t="s">
        <v>9</v>
      </c>
      <c r="C39">
        <v>8000</v>
      </c>
      <c r="D39" t="s">
        <v>167</v>
      </c>
      <c r="E39">
        <v>3</v>
      </c>
      <c r="F39">
        <v>2</v>
      </c>
      <c r="I39" t="str">
        <f t="shared" si="0"/>
        <v>(8001, 'Sometimes', 8000, 'Bad breath', 3, 2, 'Raminder Ahlawat'),</v>
      </c>
    </row>
    <row r="40" spans="1:9" x14ac:dyDescent="0.35">
      <c r="A40">
        <v>8002</v>
      </c>
      <c r="B40" t="s">
        <v>10</v>
      </c>
      <c r="C40">
        <v>8000</v>
      </c>
      <c r="D40" t="s">
        <v>167</v>
      </c>
      <c r="E40">
        <v>2</v>
      </c>
      <c r="F40">
        <v>3</v>
      </c>
      <c r="I40" t="str">
        <f t="shared" si="0"/>
        <v>(8002, 'Often', 8000, 'Bad breath', 2, 3, 'Raminder Ahlawat'),</v>
      </c>
    </row>
    <row r="41" spans="1:9" x14ac:dyDescent="0.35">
      <c r="A41">
        <v>8003</v>
      </c>
      <c r="B41" t="s">
        <v>6</v>
      </c>
      <c r="C41">
        <v>8000</v>
      </c>
      <c r="D41" t="s">
        <v>167</v>
      </c>
      <c r="E41">
        <v>1</v>
      </c>
      <c r="F41">
        <v>4</v>
      </c>
      <c r="I41" t="str">
        <f t="shared" si="0"/>
        <v>(8003, 'Daily', 8000, 'Bad breath', 1, 4, 'Raminder Ahlawat'),</v>
      </c>
    </row>
    <row r="42" spans="1:9" x14ac:dyDescent="0.35">
      <c r="A42">
        <v>9000</v>
      </c>
      <c r="B42" t="s">
        <v>12</v>
      </c>
      <c r="C42">
        <v>9000</v>
      </c>
      <c r="D42" t="s">
        <v>168</v>
      </c>
      <c r="E42">
        <v>4</v>
      </c>
      <c r="F42">
        <v>1</v>
      </c>
      <c r="I42" t="str">
        <f t="shared" si="0"/>
        <v>(9000, 'None', 9000, 'Allergies', 4, 1, 'Raminder Ahlawat'),</v>
      </c>
    </row>
    <row r="43" spans="1:9" x14ac:dyDescent="0.35">
      <c r="A43">
        <v>9001</v>
      </c>
      <c r="B43" t="s">
        <v>88</v>
      </c>
      <c r="C43">
        <v>9000</v>
      </c>
      <c r="D43" t="s">
        <v>168</v>
      </c>
      <c r="E43">
        <v>3</v>
      </c>
      <c r="F43">
        <v>2</v>
      </c>
      <c r="I43" t="str">
        <f t="shared" si="0"/>
        <v>(9001, 'Once a Month', 9000, 'Allergies', 3, 2, 'Raminder Ahlawat'),</v>
      </c>
    </row>
    <row r="44" spans="1:9" x14ac:dyDescent="0.35">
      <c r="A44">
        <v>9002</v>
      </c>
      <c r="B44" t="s">
        <v>89</v>
      </c>
      <c r="C44">
        <v>9000</v>
      </c>
      <c r="D44" t="s">
        <v>168</v>
      </c>
      <c r="E44">
        <v>2</v>
      </c>
      <c r="F44">
        <v>3</v>
      </c>
      <c r="I44" t="str">
        <f t="shared" si="0"/>
        <v>(9002, 'Several times a Month', 9000, 'Allergies', 2, 3, 'Raminder Ahlawat'),</v>
      </c>
    </row>
    <row r="45" spans="1:9" x14ac:dyDescent="0.35">
      <c r="A45">
        <v>9003</v>
      </c>
      <c r="B45" t="s">
        <v>6</v>
      </c>
      <c r="C45">
        <v>9000</v>
      </c>
      <c r="D45" t="s">
        <v>168</v>
      </c>
      <c r="E45">
        <v>1</v>
      </c>
      <c r="F45">
        <v>4</v>
      </c>
      <c r="I45" t="str">
        <f t="shared" si="0"/>
        <v>(9003, 'Daily', 9000, 'Allergies', 1, 4, 'Raminder Ahlawat'),</v>
      </c>
    </row>
    <row r="46" spans="1:9" x14ac:dyDescent="0.35">
      <c r="A46">
        <v>10001</v>
      </c>
      <c r="B46" t="s">
        <v>2</v>
      </c>
      <c r="C46">
        <v>10000</v>
      </c>
      <c r="D46" t="s">
        <v>169</v>
      </c>
      <c r="E46">
        <v>4</v>
      </c>
      <c r="F46">
        <v>1</v>
      </c>
      <c r="I46" t="str">
        <f t="shared" si="0"/>
        <v>(10001, 'Never', 10000, 'Binge on food', 4, 1, 'Raminder Ahlawat'),</v>
      </c>
    </row>
    <row r="47" spans="1:9" x14ac:dyDescent="0.35">
      <c r="A47">
        <v>10002</v>
      </c>
      <c r="B47" t="s">
        <v>9</v>
      </c>
      <c r="C47">
        <v>10000</v>
      </c>
      <c r="D47" t="s">
        <v>169</v>
      </c>
      <c r="E47">
        <v>3</v>
      </c>
      <c r="F47">
        <v>2</v>
      </c>
      <c r="I47" t="str">
        <f t="shared" si="0"/>
        <v>(10002, 'Sometimes', 10000, 'Binge on food', 3, 2, 'Raminder Ahlawat'),</v>
      </c>
    </row>
    <row r="48" spans="1:9" x14ac:dyDescent="0.35">
      <c r="A48">
        <v>10003</v>
      </c>
      <c r="B48" t="s">
        <v>10</v>
      </c>
      <c r="C48">
        <v>10000</v>
      </c>
      <c r="D48" t="s">
        <v>169</v>
      </c>
      <c r="E48">
        <v>2</v>
      </c>
      <c r="F48">
        <v>3</v>
      </c>
      <c r="I48" t="str">
        <f t="shared" si="0"/>
        <v>(10003, 'Often', 10000, 'Binge on food', 2, 3, 'Raminder Ahlawat'),</v>
      </c>
    </row>
    <row r="49" spans="1:9" x14ac:dyDescent="0.35">
      <c r="A49">
        <v>10004</v>
      </c>
      <c r="B49" t="s">
        <v>14</v>
      </c>
      <c r="C49">
        <v>10000</v>
      </c>
      <c r="D49" t="s">
        <v>169</v>
      </c>
      <c r="E49">
        <v>1</v>
      </c>
      <c r="F49">
        <v>4</v>
      </c>
      <c r="I49" t="str">
        <f t="shared" si="0"/>
        <v>(10004, 'Always', 10000, 'Binge on food', 1, 4, 'Raminder Ahlawat'),</v>
      </c>
    </row>
    <row r="50" spans="1:9" x14ac:dyDescent="0.35">
      <c r="A50">
        <v>11000</v>
      </c>
      <c r="B50" t="s">
        <v>2</v>
      </c>
      <c r="C50">
        <v>11000</v>
      </c>
      <c r="D50" t="s">
        <v>170</v>
      </c>
      <c r="E50">
        <v>4</v>
      </c>
      <c r="F50">
        <v>1</v>
      </c>
      <c r="I50" t="str">
        <f t="shared" si="0"/>
        <v>(11000, 'Never', 11000, 'Depressed or anxious', 4, 1, 'Raminder Ahlawat'),</v>
      </c>
    </row>
    <row r="51" spans="1:9" x14ac:dyDescent="0.35">
      <c r="A51">
        <v>11001</v>
      </c>
      <c r="B51" t="s">
        <v>9</v>
      </c>
      <c r="C51">
        <v>11000</v>
      </c>
      <c r="D51" t="s">
        <v>170</v>
      </c>
      <c r="E51">
        <v>3</v>
      </c>
      <c r="F51">
        <v>2</v>
      </c>
      <c r="I51" t="str">
        <f t="shared" si="0"/>
        <v>(11001, 'Sometimes', 11000, 'Depressed or anxious', 3, 2, 'Raminder Ahlawat'),</v>
      </c>
    </row>
    <row r="52" spans="1:9" x14ac:dyDescent="0.35">
      <c r="A52">
        <v>11002</v>
      </c>
      <c r="B52" t="s">
        <v>10</v>
      </c>
      <c r="C52">
        <v>11000</v>
      </c>
      <c r="D52" t="s">
        <v>170</v>
      </c>
      <c r="E52">
        <v>2</v>
      </c>
      <c r="F52">
        <v>3</v>
      </c>
      <c r="I52" t="str">
        <f t="shared" si="0"/>
        <v>(11002, 'Often', 11000, 'Depressed or anxious', 2, 3, 'Raminder Ahlawat'),</v>
      </c>
    </row>
    <row r="53" spans="1:9" x14ac:dyDescent="0.35">
      <c r="A53">
        <v>11003</v>
      </c>
      <c r="B53" t="s">
        <v>14</v>
      </c>
      <c r="C53">
        <v>11000</v>
      </c>
      <c r="D53" t="s">
        <v>170</v>
      </c>
      <c r="E53">
        <v>1</v>
      </c>
      <c r="F53">
        <v>4</v>
      </c>
      <c r="I53" t="str">
        <f t="shared" si="0"/>
        <v>(11003, 'Always', 11000, 'Depressed or anxious', 1, 4, 'Raminder Ahlawat'),</v>
      </c>
    </row>
    <row r="54" spans="1:9" x14ac:dyDescent="0.35">
      <c r="A54">
        <v>12000</v>
      </c>
      <c r="B54" t="s">
        <v>17</v>
      </c>
      <c r="C54">
        <v>12000</v>
      </c>
      <c r="D54" t="s">
        <v>16</v>
      </c>
      <c r="E54">
        <v>4</v>
      </c>
      <c r="F54">
        <v>1</v>
      </c>
      <c r="I54" t="str">
        <f t="shared" si="0"/>
        <v>(12000, 'Soft and Manageable', 12000, 'Hair Health', 4, 1, 'Raminder Ahlawat'),</v>
      </c>
    </row>
    <row r="55" spans="1:9" x14ac:dyDescent="0.35">
      <c r="A55">
        <v>12001</v>
      </c>
      <c r="B55" t="s">
        <v>18</v>
      </c>
      <c r="C55">
        <v>12000</v>
      </c>
      <c r="D55" t="s">
        <v>16</v>
      </c>
      <c r="E55">
        <v>3</v>
      </c>
      <c r="F55">
        <v>2</v>
      </c>
      <c r="I55" t="str">
        <f t="shared" si="0"/>
        <v>(12001, 'Dry Seasonally', 12000, 'Hair Health', 3, 2, 'Raminder Ahlawat'),</v>
      </c>
    </row>
    <row r="56" spans="1:9" x14ac:dyDescent="0.35">
      <c r="A56">
        <v>12002</v>
      </c>
      <c r="B56" t="s">
        <v>19</v>
      </c>
      <c r="C56">
        <v>12000</v>
      </c>
      <c r="D56" t="s">
        <v>16</v>
      </c>
      <c r="E56">
        <v>2</v>
      </c>
      <c r="F56">
        <v>3</v>
      </c>
      <c r="I56" t="str">
        <f t="shared" si="0"/>
        <v>(12002, 'Dry Year Around', 12000, 'Hair Health', 2, 3, 'Raminder Ahlawat'),</v>
      </c>
    </row>
    <row r="57" spans="1:9" x14ac:dyDescent="0.35">
      <c r="A57">
        <v>12003</v>
      </c>
      <c r="B57" t="s">
        <v>20</v>
      </c>
      <c r="C57">
        <v>12000</v>
      </c>
      <c r="D57" t="s">
        <v>16</v>
      </c>
      <c r="E57">
        <v>1</v>
      </c>
      <c r="F57">
        <v>4</v>
      </c>
      <c r="I57" t="str">
        <f t="shared" si="0"/>
        <v>(12003, 'Always Dry', 12000, 'Hair Health', 1, 4, 'Raminder Ahlawat'),</v>
      </c>
    </row>
    <row r="58" spans="1:9" x14ac:dyDescent="0.35">
      <c r="A58">
        <v>13000</v>
      </c>
      <c r="B58" t="s">
        <v>22</v>
      </c>
      <c r="C58">
        <v>13000</v>
      </c>
      <c r="D58" t="s">
        <v>21</v>
      </c>
      <c r="E58">
        <v>4</v>
      </c>
      <c r="F58">
        <v>1</v>
      </c>
      <c r="I58" t="str">
        <f t="shared" si="0"/>
        <v>(13000, 'My Skin is fine', 13000, 'Skin &amp; Wrinkles', 4, 1, 'Raminder Ahlawat'),</v>
      </c>
    </row>
    <row r="59" spans="1:9" x14ac:dyDescent="0.35">
      <c r="A59">
        <v>13001</v>
      </c>
      <c r="B59" t="s">
        <v>90</v>
      </c>
      <c r="C59">
        <v>13000</v>
      </c>
      <c r="D59" t="s">
        <v>21</v>
      </c>
      <c r="E59">
        <v>3</v>
      </c>
      <c r="F59">
        <v>2</v>
      </c>
      <c r="I59" t="str">
        <f t="shared" si="0"/>
        <v>(13001, 'Age related wrinkles', 13000, 'Skin &amp; Wrinkles', 3, 2, 'Raminder Ahlawat'),</v>
      </c>
    </row>
    <row r="60" spans="1:9" x14ac:dyDescent="0.35">
      <c r="A60">
        <v>13002</v>
      </c>
      <c r="B60" t="s">
        <v>91</v>
      </c>
      <c r="C60">
        <v>13000</v>
      </c>
      <c r="D60" t="s">
        <v>21</v>
      </c>
      <c r="E60">
        <v>2</v>
      </c>
      <c r="F60">
        <v>3</v>
      </c>
      <c r="I60" t="str">
        <f t="shared" si="0"/>
        <v>(13002, 'Look older than my age', 13000, 'Skin &amp; Wrinkles', 2, 3, 'Raminder Ahlawat'),</v>
      </c>
    </row>
    <row r="61" spans="1:9" x14ac:dyDescent="0.35">
      <c r="A61">
        <v>13003</v>
      </c>
      <c r="B61" t="s">
        <v>92</v>
      </c>
      <c r="C61">
        <v>13000</v>
      </c>
      <c r="D61" t="s">
        <v>21</v>
      </c>
      <c r="E61">
        <v>1</v>
      </c>
      <c r="F61">
        <v>4</v>
      </c>
      <c r="I61" t="str">
        <f t="shared" si="0"/>
        <v>(13003, 'Wrinkles all over body', 13000, 'Skin &amp; Wrinkles', 1, 4, 'Raminder Ahlawat'),</v>
      </c>
    </row>
    <row r="62" spans="1:9" x14ac:dyDescent="0.35">
      <c r="A62">
        <v>14000</v>
      </c>
      <c r="B62" t="s">
        <v>23</v>
      </c>
      <c r="C62">
        <v>14000</v>
      </c>
      <c r="D62" t="s">
        <v>54</v>
      </c>
      <c r="E62">
        <v>4</v>
      </c>
      <c r="F62">
        <v>1</v>
      </c>
      <c r="I62" t="str">
        <f t="shared" si="0"/>
        <v>(14000, 'Regular', 14000, 'Menstrual Health', 4, 1, 'Raminder Ahlawat'),</v>
      </c>
    </row>
    <row r="63" spans="1:9" x14ac:dyDescent="0.35">
      <c r="A63">
        <v>14001</v>
      </c>
      <c r="B63" t="s">
        <v>24</v>
      </c>
      <c r="C63">
        <v>14000</v>
      </c>
      <c r="D63" t="s">
        <v>54</v>
      </c>
      <c r="E63">
        <v>3</v>
      </c>
      <c r="F63">
        <v>2</v>
      </c>
      <c r="I63" t="str">
        <f t="shared" si="0"/>
        <v>(14001, 'Occasionally Late', 14000, 'Menstrual Health', 3, 2, 'Raminder Ahlawat'),</v>
      </c>
    </row>
    <row r="64" spans="1:9" x14ac:dyDescent="0.35">
      <c r="A64">
        <v>14002</v>
      </c>
      <c r="B64" t="s">
        <v>25</v>
      </c>
      <c r="C64">
        <v>14000</v>
      </c>
      <c r="D64" t="s">
        <v>54</v>
      </c>
      <c r="E64">
        <v>2</v>
      </c>
      <c r="F64">
        <v>3</v>
      </c>
      <c r="I64" t="str">
        <f t="shared" si="0"/>
        <v>(14002, 'Always Delayed', 14000, 'Menstrual Health', 2, 3, 'Raminder Ahlawat'),</v>
      </c>
    </row>
    <row r="65" spans="1:9" x14ac:dyDescent="0.35">
      <c r="A65">
        <v>14003</v>
      </c>
      <c r="B65" t="s">
        <v>26</v>
      </c>
      <c r="C65">
        <v>14000</v>
      </c>
      <c r="D65" t="s">
        <v>54</v>
      </c>
      <c r="E65">
        <v>1</v>
      </c>
      <c r="F65">
        <v>4</v>
      </c>
      <c r="I65" t="str">
        <f t="shared" si="0"/>
        <v>(14003, 'Irregular', 14000, 'Menstrual Health', 1, 4, 'Raminder Ahlawat'),</v>
      </c>
    </row>
    <row r="66" spans="1:9" x14ac:dyDescent="0.35">
      <c r="A66">
        <v>15000</v>
      </c>
      <c r="B66" t="s">
        <v>247</v>
      </c>
      <c r="C66">
        <v>15000</v>
      </c>
      <c r="D66" t="s">
        <v>55</v>
      </c>
      <c r="E66">
        <v>3</v>
      </c>
      <c r="F66">
        <v>1</v>
      </c>
      <c r="I66" t="str">
        <f t="shared" si="0"/>
        <v>(15000, 'Exceptional Fasting', 15000, 'Fasting', 3, 1, 'Raminder Ahlawat'),</v>
      </c>
    </row>
    <row r="67" spans="1:9" x14ac:dyDescent="0.35">
      <c r="A67">
        <v>15001</v>
      </c>
      <c r="B67" t="s">
        <v>246</v>
      </c>
      <c r="C67">
        <v>15000</v>
      </c>
      <c r="D67" t="s">
        <v>55</v>
      </c>
      <c r="E67">
        <v>2</v>
      </c>
      <c r="F67">
        <v>2</v>
      </c>
      <c r="I67" t="str">
        <f t="shared" ref="I67:I90" si="1">CONCATENATE("(", A67,", '",B67,"', ",C67,", '",D67, "', ", E67, ", ", F67, ", 'Raminder Ahlawat'),")</f>
        <v>(15001, 'Optimum Fasting', 15000, 'Fasting', 2, 2, 'Raminder Ahlawat'),</v>
      </c>
    </row>
    <row r="68" spans="1:9" x14ac:dyDescent="0.35">
      <c r="A68">
        <v>15002</v>
      </c>
      <c r="B68" t="s">
        <v>248</v>
      </c>
      <c r="C68">
        <v>15000</v>
      </c>
      <c r="D68" t="s">
        <v>55</v>
      </c>
      <c r="E68">
        <v>1</v>
      </c>
      <c r="F68">
        <v>3</v>
      </c>
      <c r="I68" t="str">
        <f t="shared" si="1"/>
        <v>(15002, 'Inadequate Fasting', 15000, 'Fasting', 1, 3, 'Raminder Ahlawat'),</v>
      </c>
    </row>
    <row r="69" spans="1:9" x14ac:dyDescent="0.35">
      <c r="A69">
        <v>16000</v>
      </c>
      <c r="B69" t="s">
        <v>41</v>
      </c>
      <c r="C69">
        <v>16000</v>
      </c>
      <c r="D69" t="s">
        <v>56</v>
      </c>
      <c r="E69">
        <v>5</v>
      </c>
      <c r="F69">
        <v>1</v>
      </c>
      <c r="I69" t="str">
        <f t="shared" si="1"/>
        <v>(16000, 'Normal', 16000, 'Phq9', 5, 1, 'Raminder Ahlawat'),</v>
      </c>
    </row>
    <row r="70" spans="1:9" x14ac:dyDescent="0.35">
      <c r="A70">
        <v>16001</v>
      </c>
      <c r="B70" t="s">
        <v>203</v>
      </c>
      <c r="C70">
        <v>16000</v>
      </c>
      <c r="D70" t="s">
        <v>56</v>
      </c>
      <c r="E70">
        <v>4</v>
      </c>
      <c r="F70">
        <v>2</v>
      </c>
      <c r="I70" t="str">
        <f t="shared" si="1"/>
        <v>(16001, 'Mild Depression', 16000, 'Phq9', 4, 2, 'Raminder Ahlawat'),</v>
      </c>
    </row>
    <row r="71" spans="1:9" x14ac:dyDescent="0.35">
      <c r="A71">
        <v>16002</v>
      </c>
      <c r="B71" t="s">
        <v>204</v>
      </c>
      <c r="C71">
        <v>16000</v>
      </c>
      <c r="D71" t="s">
        <v>56</v>
      </c>
      <c r="E71">
        <v>3</v>
      </c>
      <c r="F71">
        <v>3</v>
      </c>
      <c r="I71" t="str">
        <f t="shared" si="1"/>
        <v>(16002, 'Moderate Depression', 16000, 'Phq9', 3, 3, 'Raminder Ahlawat'),</v>
      </c>
    </row>
    <row r="72" spans="1:9" x14ac:dyDescent="0.35">
      <c r="A72">
        <v>16003</v>
      </c>
      <c r="B72" t="s">
        <v>1402</v>
      </c>
      <c r="C72">
        <v>16000</v>
      </c>
      <c r="D72" t="s">
        <v>56</v>
      </c>
      <c r="E72">
        <v>2</v>
      </c>
      <c r="F72">
        <v>4</v>
      </c>
      <c r="I72" t="str">
        <f t="shared" si="1"/>
        <v>(16003, 'Moderately Severe', 16000, 'Phq9', 2, 4, 'Raminder Ahlawat'),</v>
      </c>
    </row>
    <row r="73" spans="1:9" x14ac:dyDescent="0.35">
      <c r="A73">
        <v>16004</v>
      </c>
      <c r="B73" t="s">
        <v>206</v>
      </c>
      <c r="C73">
        <v>16000</v>
      </c>
      <c r="D73" t="s">
        <v>56</v>
      </c>
      <c r="E73">
        <v>1</v>
      </c>
      <c r="F73">
        <v>5</v>
      </c>
      <c r="I73" t="str">
        <f t="shared" si="1"/>
        <v>(16004, 'Severe Depression', 16000, 'Phq9', 1, 5, 'Raminder Ahlawat'),</v>
      </c>
    </row>
    <row r="74" spans="1:9" x14ac:dyDescent="0.35">
      <c r="A74">
        <v>17000</v>
      </c>
      <c r="B74" t="s">
        <v>41</v>
      </c>
      <c r="C74">
        <v>17000</v>
      </c>
      <c r="D74" t="s">
        <v>57</v>
      </c>
      <c r="E74">
        <v>5</v>
      </c>
      <c r="F74">
        <v>1</v>
      </c>
      <c r="I74" t="str">
        <f t="shared" si="1"/>
        <v>(17000, 'Normal', 17000, 'BP', 5, 1, 'Raminder Ahlawat'),</v>
      </c>
    </row>
    <row r="75" spans="1:9" x14ac:dyDescent="0.35">
      <c r="A75">
        <v>17001</v>
      </c>
      <c r="B75" t="s">
        <v>97</v>
      </c>
      <c r="C75">
        <v>17000</v>
      </c>
      <c r="D75" t="s">
        <v>57</v>
      </c>
      <c r="E75">
        <v>4</v>
      </c>
      <c r="F75">
        <v>2</v>
      </c>
      <c r="I75" t="str">
        <f t="shared" si="1"/>
        <v>(17001, 'Elevated', 17000, 'BP', 4, 2, 'Raminder Ahlawat'),</v>
      </c>
    </row>
    <row r="76" spans="1:9" x14ac:dyDescent="0.35">
      <c r="A76">
        <v>17002</v>
      </c>
      <c r="B76" t="s">
        <v>98</v>
      </c>
      <c r="C76">
        <v>17000</v>
      </c>
      <c r="D76" t="s">
        <v>57</v>
      </c>
      <c r="E76">
        <v>3</v>
      </c>
      <c r="F76">
        <v>3</v>
      </c>
      <c r="I76" t="str">
        <f t="shared" si="1"/>
        <v>(17002, 'Stage 1', 17000, 'BP', 3, 3, 'Raminder Ahlawat'),</v>
      </c>
    </row>
    <row r="77" spans="1:9" x14ac:dyDescent="0.35">
      <c r="A77">
        <v>17003</v>
      </c>
      <c r="B77" t="s">
        <v>99</v>
      </c>
      <c r="C77">
        <v>17000</v>
      </c>
      <c r="D77" t="s">
        <v>57</v>
      </c>
      <c r="E77">
        <v>2</v>
      </c>
      <c r="F77">
        <v>4</v>
      </c>
      <c r="I77" t="str">
        <f t="shared" si="1"/>
        <v>(17003, 'Stage 2', 17000, 'BP', 2, 4, 'Raminder Ahlawat'),</v>
      </c>
    </row>
    <row r="78" spans="1:9" x14ac:dyDescent="0.35">
      <c r="A78">
        <v>17004</v>
      </c>
      <c r="B78" t="s">
        <v>194</v>
      </c>
      <c r="C78">
        <v>17000</v>
      </c>
      <c r="D78" t="s">
        <v>57</v>
      </c>
      <c r="E78">
        <v>1</v>
      </c>
      <c r="F78">
        <v>5</v>
      </c>
      <c r="I78" t="str">
        <f t="shared" si="1"/>
        <v>(17004, 'Crisis', 17000, 'BP', 1, 5, 'Raminder Ahlawat'),</v>
      </c>
    </row>
    <row r="79" spans="1:9" x14ac:dyDescent="0.35">
      <c r="A79">
        <v>17005</v>
      </c>
      <c r="B79" t="s">
        <v>266</v>
      </c>
      <c r="C79">
        <v>17000</v>
      </c>
      <c r="D79" t="s">
        <v>57</v>
      </c>
      <c r="E79">
        <v>1</v>
      </c>
      <c r="F79">
        <v>6</v>
      </c>
      <c r="I79" t="str">
        <f t="shared" si="1"/>
        <v>(17005, 'Hypo Crisis', 17000, 'BP', 1, 6, 'Raminder Ahlawat'),</v>
      </c>
    </row>
    <row r="80" spans="1:9" x14ac:dyDescent="0.35">
      <c r="A80">
        <v>18000</v>
      </c>
      <c r="B80" t="s">
        <v>41</v>
      </c>
      <c r="C80">
        <v>18000</v>
      </c>
      <c r="D80" t="s">
        <v>58</v>
      </c>
      <c r="E80">
        <v>5</v>
      </c>
      <c r="F80">
        <v>1</v>
      </c>
      <c r="I80" t="str">
        <f t="shared" si="1"/>
        <v>(18000, 'Normal', 18000, 'Glucose', 5, 1, 'Raminder Ahlawat'),</v>
      </c>
    </row>
    <row r="81" spans="1:9" x14ac:dyDescent="0.35">
      <c r="A81">
        <v>18001</v>
      </c>
      <c r="B81" t="s">
        <v>97</v>
      </c>
      <c r="C81">
        <v>18000</v>
      </c>
      <c r="D81" t="s">
        <v>58</v>
      </c>
      <c r="E81">
        <v>4</v>
      </c>
      <c r="F81">
        <v>2</v>
      </c>
      <c r="I81" t="str">
        <f t="shared" si="1"/>
        <v>(18001, 'Elevated', 18000, 'Glucose', 4, 2, 'Raminder Ahlawat'),</v>
      </c>
    </row>
    <row r="82" spans="1:9" x14ac:dyDescent="0.35">
      <c r="A82">
        <v>18002</v>
      </c>
      <c r="B82" t="s">
        <v>98</v>
      </c>
      <c r="C82">
        <v>18000</v>
      </c>
      <c r="D82" t="s">
        <v>58</v>
      </c>
      <c r="E82">
        <v>3</v>
      </c>
      <c r="F82">
        <v>3</v>
      </c>
      <c r="I82" t="str">
        <f t="shared" si="1"/>
        <v>(18002, 'Stage 1', 18000, 'Glucose', 3, 3, 'Raminder Ahlawat'),</v>
      </c>
    </row>
    <row r="83" spans="1:9" x14ac:dyDescent="0.35">
      <c r="A83">
        <v>18003</v>
      </c>
      <c r="B83" t="s">
        <v>99</v>
      </c>
      <c r="C83">
        <v>18000</v>
      </c>
      <c r="D83" t="s">
        <v>58</v>
      </c>
      <c r="E83">
        <v>2</v>
      </c>
      <c r="F83">
        <v>4</v>
      </c>
      <c r="I83" t="str">
        <f t="shared" si="1"/>
        <v>(18003, 'Stage 2', 18000, 'Glucose', 2, 4, 'Raminder Ahlawat'),</v>
      </c>
    </row>
    <row r="84" spans="1:9" x14ac:dyDescent="0.35">
      <c r="A84">
        <v>18004</v>
      </c>
      <c r="B84" t="s">
        <v>194</v>
      </c>
      <c r="C84">
        <v>18000</v>
      </c>
      <c r="D84" t="s">
        <v>58</v>
      </c>
      <c r="E84">
        <v>1</v>
      </c>
      <c r="F84">
        <v>5</v>
      </c>
      <c r="I84" t="str">
        <f t="shared" si="1"/>
        <v>(18004, 'Crisis', 18000, 'Glucose', 1, 5, 'Raminder Ahlawat'),</v>
      </c>
    </row>
    <row r="85" spans="1:9" x14ac:dyDescent="0.35">
      <c r="A85">
        <v>18005</v>
      </c>
      <c r="B85" t="s">
        <v>266</v>
      </c>
      <c r="C85">
        <v>18000</v>
      </c>
      <c r="D85" t="s">
        <v>58</v>
      </c>
      <c r="E85">
        <v>1</v>
      </c>
      <c r="F85">
        <v>6</v>
      </c>
      <c r="I85" t="str">
        <f t="shared" si="1"/>
        <v>(18005, 'Hypo Crisis', 18000, 'Glucose', 1, 6, 'Raminder Ahlawat'),</v>
      </c>
    </row>
    <row r="86" spans="1:9" x14ac:dyDescent="0.35">
      <c r="A86">
        <v>18006</v>
      </c>
      <c r="B86" t="s">
        <v>267</v>
      </c>
      <c r="C86">
        <v>18000</v>
      </c>
      <c r="D86" t="s">
        <v>58</v>
      </c>
      <c r="E86">
        <v>3</v>
      </c>
      <c r="F86">
        <v>7</v>
      </c>
      <c r="I86" t="str">
        <f t="shared" si="1"/>
        <v>(18006, 'Hypo Stage 1', 18000, 'Glucose', 3, 7, 'Raminder Ahlawat'),</v>
      </c>
    </row>
    <row r="87" spans="1:9" x14ac:dyDescent="0.35">
      <c r="A87">
        <v>19000</v>
      </c>
      <c r="B87" t="s">
        <v>1088</v>
      </c>
      <c r="C87" s="51">
        <v>19000</v>
      </c>
      <c r="D87" s="51" t="s">
        <v>848</v>
      </c>
      <c r="E87">
        <v>4</v>
      </c>
      <c r="F87">
        <v>1</v>
      </c>
      <c r="I87" t="str">
        <f t="shared" si="1"/>
        <v>(19000, 'No Pain', 19000, 'Pain', 4, 1, 'Raminder Ahlawat'),</v>
      </c>
    </row>
    <row r="88" spans="1:9" x14ac:dyDescent="0.35">
      <c r="A88">
        <v>19001</v>
      </c>
      <c r="B88" t="s">
        <v>1091</v>
      </c>
      <c r="C88" s="51">
        <v>19000</v>
      </c>
      <c r="D88" s="51" t="s">
        <v>848</v>
      </c>
      <c r="E88">
        <v>3</v>
      </c>
      <c r="F88">
        <v>2</v>
      </c>
      <c r="I88" t="str">
        <f t="shared" si="1"/>
        <v>(19001, 'Mild Pain', 19000, 'Pain', 3, 2, 'Raminder Ahlawat'),</v>
      </c>
    </row>
    <row r="89" spans="1:9" x14ac:dyDescent="0.35">
      <c r="A89">
        <v>19002</v>
      </c>
      <c r="B89" t="s">
        <v>1089</v>
      </c>
      <c r="C89" s="51">
        <v>19000</v>
      </c>
      <c r="D89" s="51" t="s">
        <v>848</v>
      </c>
      <c r="E89">
        <v>2</v>
      </c>
      <c r="F89">
        <v>3</v>
      </c>
      <c r="I89" t="str">
        <f t="shared" si="1"/>
        <v>(19002, 'Moderate Pain', 19000, 'Pain', 2, 3, 'Raminder Ahlawat'),</v>
      </c>
    </row>
    <row r="90" spans="1:9" x14ac:dyDescent="0.35">
      <c r="A90">
        <v>19003</v>
      </c>
      <c r="B90" t="s">
        <v>1090</v>
      </c>
      <c r="C90" s="51">
        <v>19000</v>
      </c>
      <c r="D90" s="51" t="s">
        <v>848</v>
      </c>
      <c r="E90">
        <v>1</v>
      </c>
      <c r="F90">
        <v>4</v>
      </c>
      <c r="I90" t="str">
        <f t="shared" si="1"/>
        <v>(19003, 'Severe Pain', 19000, 'Pain', 1, 4, 'Raminder Ahlawat'),</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D5DFF-8D33-40D8-BC67-2B1E8936E582}">
  <sheetPr codeName="Sheet10"/>
  <dimension ref="A1:E11"/>
  <sheetViews>
    <sheetView workbookViewId="0">
      <selection activeCell="E1" sqref="E1:E11"/>
    </sheetView>
  </sheetViews>
  <sheetFormatPr defaultRowHeight="14.5" x14ac:dyDescent="0.35"/>
  <cols>
    <col min="1" max="1" width="22.453125" bestFit="1" customWidth="1"/>
    <col min="2" max="2" width="29.6328125" bestFit="1" customWidth="1"/>
    <col min="3" max="3" width="30.90625" bestFit="1" customWidth="1"/>
  </cols>
  <sheetData>
    <row r="1" spans="1:5" x14ac:dyDescent="0.35">
      <c r="A1" t="s">
        <v>221</v>
      </c>
      <c r="B1" t="s">
        <v>152</v>
      </c>
      <c r="C1" t="s">
        <v>222</v>
      </c>
      <c r="E1" t="s">
        <v>1397</v>
      </c>
    </row>
    <row r="2" spans="1:5" x14ac:dyDescent="0.35">
      <c r="A2">
        <v>1000</v>
      </c>
      <c r="B2">
        <v>100</v>
      </c>
      <c r="E2" t="str">
        <f>CONCATENATE("(", A2,", ",B2,", ", IF(C2="","NULL",C2), "),")</f>
        <v>(1000, 100, NULL),</v>
      </c>
    </row>
    <row r="3" spans="1:5" x14ac:dyDescent="0.35">
      <c r="A3">
        <v>1000</v>
      </c>
      <c r="B3">
        <v>200</v>
      </c>
      <c r="E3" t="str">
        <f t="shared" ref="E3:E11" si="0">CONCATENATE("(", A3,", ",B3,", ", IF(C3="","NULL",C3), "),")</f>
        <v>(1000, 200, NULL),</v>
      </c>
    </row>
    <row r="4" spans="1:5" x14ac:dyDescent="0.35">
      <c r="A4">
        <v>2000</v>
      </c>
      <c r="B4">
        <v>100</v>
      </c>
      <c r="E4" t="str">
        <f t="shared" si="0"/>
        <v>(2000, 100, NULL),</v>
      </c>
    </row>
    <row r="5" spans="1:5" x14ac:dyDescent="0.35">
      <c r="A5">
        <v>2000</v>
      </c>
      <c r="B5">
        <v>200</v>
      </c>
      <c r="E5" t="str">
        <f t="shared" si="0"/>
        <v>(2000, 200, NULL),</v>
      </c>
    </row>
    <row r="6" spans="1:5" x14ac:dyDescent="0.35">
      <c r="A6">
        <v>3000</v>
      </c>
      <c r="B6">
        <v>200</v>
      </c>
      <c r="E6" t="str">
        <f t="shared" si="0"/>
        <v>(3000, 200, NULL),</v>
      </c>
    </row>
    <row r="7" spans="1:5" x14ac:dyDescent="0.35">
      <c r="A7">
        <v>14000</v>
      </c>
      <c r="B7">
        <v>100</v>
      </c>
      <c r="C7">
        <v>100</v>
      </c>
      <c r="E7" t="str">
        <f t="shared" si="0"/>
        <v>(14000, 100, 100),</v>
      </c>
    </row>
    <row r="8" spans="1:5" x14ac:dyDescent="0.35">
      <c r="A8">
        <v>14000</v>
      </c>
      <c r="B8">
        <v>200</v>
      </c>
      <c r="C8">
        <v>200</v>
      </c>
      <c r="E8" t="str">
        <f t="shared" si="0"/>
        <v>(14000, 200, 200),</v>
      </c>
    </row>
    <row r="9" spans="1:5" x14ac:dyDescent="0.35">
      <c r="A9">
        <v>14000</v>
      </c>
      <c r="B9">
        <v>200</v>
      </c>
      <c r="C9">
        <v>201</v>
      </c>
      <c r="E9" t="str">
        <f t="shared" si="0"/>
        <v>(14000, 200, 201),</v>
      </c>
    </row>
    <row r="10" spans="1:5" x14ac:dyDescent="0.35">
      <c r="A10">
        <v>14000</v>
      </c>
      <c r="B10">
        <v>200</v>
      </c>
      <c r="C10">
        <v>202</v>
      </c>
      <c r="E10" t="str">
        <f t="shared" si="0"/>
        <v>(14000, 200, 202),</v>
      </c>
    </row>
    <row r="11" spans="1:5" x14ac:dyDescent="0.35">
      <c r="A11">
        <v>14000</v>
      </c>
      <c r="B11">
        <v>200</v>
      </c>
      <c r="C11">
        <v>203</v>
      </c>
      <c r="E11" t="str">
        <f t="shared" si="0"/>
        <v>(14000, 200, 203),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1C839-D0C4-4722-9339-AA28C1FCCF9B}">
  <dimension ref="A1:E8"/>
  <sheetViews>
    <sheetView workbookViewId="0">
      <selection activeCell="E1" sqref="E1:E8"/>
    </sheetView>
  </sheetViews>
  <sheetFormatPr defaultRowHeight="14.5" x14ac:dyDescent="0.35"/>
  <cols>
    <col min="1" max="1" width="15.6328125" customWidth="1"/>
    <col min="2" max="2" width="27.7265625" customWidth="1"/>
    <col min="3" max="3" width="16.36328125" customWidth="1"/>
  </cols>
  <sheetData>
    <row r="1" spans="1:5" x14ac:dyDescent="0.35">
      <c r="A1" t="s">
        <v>148</v>
      </c>
      <c r="B1" t="s">
        <v>156</v>
      </c>
      <c r="C1" t="s">
        <v>157</v>
      </c>
      <c r="E1" t="s">
        <v>1408</v>
      </c>
    </row>
    <row r="2" spans="1:5" x14ac:dyDescent="0.35">
      <c r="A2">
        <v>1000</v>
      </c>
      <c r="B2" t="s">
        <v>902</v>
      </c>
      <c r="C2">
        <v>2</v>
      </c>
      <c r="E2" t="str">
        <f>CONCATENATE("(",A2,", '",B2,"', ", C2,", 'Raminder Ahlawat'),")</f>
        <v>(1000, 'Complete Blood Count (CBC)', 2, 'Raminder Ahlawat'),</v>
      </c>
    </row>
    <row r="3" spans="1:5" x14ac:dyDescent="0.35">
      <c r="A3">
        <v>2000</v>
      </c>
      <c r="B3" t="s">
        <v>921</v>
      </c>
      <c r="C3">
        <v>1</v>
      </c>
      <c r="E3" t="str">
        <f t="shared" ref="E3:E8" si="0">CONCATENATE("(",A3,", '",B3,"', ", C3,", 'Raminder Ahlawat'),")</f>
        <v>(2000, 'ESR', 1, 'Raminder Ahlawat'),</v>
      </c>
    </row>
    <row r="4" spans="1:5" x14ac:dyDescent="0.35">
      <c r="A4">
        <v>3000</v>
      </c>
      <c r="B4" t="s">
        <v>922</v>
      </c>
      <c r="C4">
        <v>1</v>
      </c>
      <c r="E4" t="str">
        <f t="shared" si="0"/>
        <v>(3000, 'Comprehensive Metabolic Panel (CMP)', 1, 'Raminder Ahlawat'),</v>
      </c>
    </row>
    <row r="5" spans="1:5" x14ac:dyDescent="0.35">
      <c r="A5">
        <v>4000</v>
      </c>
      <c r="B5" t="s">
        <v>924</v>
      </c>
      <c r="C5">
        <v>1</v>
      </c>
      <c r="E5" t="str">
        <f t="shared" si="0"/>
        <v>(4000, 'Lipid Panel (LP)', 1, 'Raminder Ahlawat'),</v>
      </c>
    </row>
    <row r="6" spans="1:5" x14ac:dyDescent="0.35">
      <c r="A6">
        <v>5000</v>
      </c>
      <c r="B6" t="s">
        <v>923</v>
      </c>
      <c r="C6">
        <v>1</v>
      </c>
      <c r="E6" t="str">
        <f t="shared" si="0"/>
        <v>(5000, 'Thyroid Panel (TP)', 1, 'Raminder Ahlawat'),</v>
      </c>
    </row>
    <row r="7" spans="1:5" x14ac:dyDescent="0.35">
      <c r="A7">
        <v>6000</v>
      </c>
      <c r="B7" t="s">
        <v>1045</v>
      </c>
      <c r="C7">
        <v>2</v>
      </c>
      <c r="E7" t="str">
        <f t="shared" si="0"/>
        <v>(6000, 'Routine Urine', 2, 'Raminder Ahlawat'),</v>
      </c>
    </row>
    <row r="8" spans="1:5" x14ac:dyDescent="0.35">
      <c r="A8">
        <v>7000</v>
      </c>
      <c r="B8" t="s">
        <v>1070</v>
      </c>
      <c r="C8">
        <v>1</v>
      </c>
      <c r="E8" t="str">
        <f t="shared" si="0"/>
        <v>(7000, 'Iron Study', 1, 'Raminder Ahlawat'),</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6D030-AFB1-4B67-9CB1-CA98827FBA13}">
  <dimension ref="A1:I40"/>
  <sheetViews>
    <sheetView workbookViewId="0">
      <selection activeCell="I1" sqref="I1:I40"/>
    </sheetView>
  </sheetViews>
  <sheetFormatPr defaultRowHeight="14.5" x14ac:dyDescent="0.35"/>
  <cols>
    <col min="2" max="2" width="28.81640625" customWidth="1"/>
    <col min="3" max="3" width="21.1796875" bestFit="1" customWidth="1"/>
    <col min="4" max="4" width="7.7265625" customWidth="1"/>
    <col min="5" max="5" width="25.08984375" customWidth="1"/>
    <col min="6" max="6" width="7.7265625" bestFit="1" customWidth="1"/>
    <col min="7" max="7" width="15.1796875" customWidth="1"/>
  </cols>
  <sheetData>
    <row r="1" spans="1:9" x14ac:dyDescent="0.35">
      <c r="A1" t="s">
        <v>148</v>
      </c>
      <c r="B1" t="s">
        <v>156</v>
      </c>
      <c r="C1" t="s">
        <v>898</v>
      </c>
      <c r="D1" t="s">
        <v>913</v>
      </c>
      <c r="E1" t="s">
        <v>912</v>
      </c>
      <c r="F1" t="s">
        <v>151</v>
      </c>
      <c r="G1" t="s">
        <v>1092</v>
      </c>
      <c r="I1" t="s">
        <v>1409</v>
      </c>
    </row>
    <row r="2" spans="1:9" x14ac:dyDescent="0.35">
      <c r="A2">
        <v>1000</v>
      </c>
      <c r="B2" t="s">
        <v>903</v>
      </c>
      <c r="C2">
        <v>1000</v>
      </c>
      <c r="D2" t="s">
        <v>730</v>
      </c>
      <c r="E2" t="s">
        <v>914</v>
      </c>
      <c r="F2">
        <v>2</v>
      </c>
      <c r="I2" t="str">
        <f>CONCATENATE("(", A2,", '",B2,"', ",C2,", '",D2, "', '",E2,"', ", F2, ", 'com.lnf.questionnaire.datamodel.interpretter.DetaultInterpretter', 'Raminder Ahlawat'),")</f>
        <v>(1000, 'Red Blood Cells (RBC)', 1000, 'decimal', '10^6/microleter (μL)', 2, 'com.lnf.questionnaire.datamodel.interpretter.DetaultInterpretter', 'Raminder Ahlawat'),</v>
      </c>
    </row>
    <row r="3" spans="1:9" x14ac:dyDescent="0.35">
      <c r="A3">
        <v>1010</v>
      </c>
      <c r="B3" t="s">
        <v>904</v>
      </c>
      <c r="C3">
        <v>1000</v>
      </c>
      <c r="D3" t="s">
        <v>730</v>
      </c>
      <c r="E3" t="s">
        <v>915</v>
      </c>
      <c r="F3">
        <v>2</v>
      </c>
      <c r="I3" t="str">
        <f t="shared" ref="I3:I40" si="0">CONCATENATE("(", A3,", '",B3,"', ",C3,", '",D3, "', '",E3,"', ", F3, ", 'com.lnf.questionnaire.datamodel.interpretter.DetaultInterpretter', 'Raminder Ahlawat'),")</f>
        <v>(1010, 'White Blood Cells (WBC)', 1000, 'decimal', '10^3/microleter (μL)', 2, 'com.lnf.questionnaire.datamodel.interpretter.DetaultInterpretter', 'Raminder Ahlawat'),</v>
      </c>
    </row>
    <row r="4" spans="1:9" x14ac:dyDescent="0.35">
      <c r="A4">
        <v>1020</v>
      </c>
      <c r="B4" t="s">
        <v>905</v>
      </c>
      <c r="C4">
        <v>1000</v>
      </c>
      <c r="D4" t="s">
        <v>730</v>
      </c>
      <c r="E4" t="s">
        <v>915</v>
      </c>
      <c r="F4">
        <v>2</v>
      </c>
      <c r="I4" t="str">
        <f t="shared" si="0"/>
        <v>(1020, 'Platelets', 1000, 'decimal', '10^3/microleter (μL)', 2, 'com.lnf.questionnaire.datamodel.interpretter.DetaultInterpretter', 'Raminder Ahlawat'),</v>
      </c>
    </row>
    <row r="5" spans="1:9" x14ac:dyDescent="0.35">
      <c r="A5">
        <v>1030</v>
      </c>
      <c r="B5" t="s">
        <v>906</v>
      </c>
      <c r="C5">
        <v>1000</v>
      </c>
      <c r="D5" t="s">
        <v>730</v>
      </c>
      <c r="E5" t="s">
        <v>916</v>
      </c>
      <c r="F5">
        <v>2</v>
      </c>
      <c r="I5" t="str">
        <f t="shared" si="0"/>
        <v>(1030, 'Hemoglobin', 1000, 'decimal', 'grams/deciliter (g/dL)', 2, 'com.lnf.questionnaire.datamodel.interpretter.DetaultInterpretter', 'Raminder Ahlawat'),</v>
      </c>
    </row>
    <row r="6" spans="1:9" x14ac:dyDescent="0.35">
      <c r="A6">
        <v>2000</v>
      </c>
      <c r="B6" t="s">
        <v>921</v>
      </c>
      <c r="C6">
        <v>2000</v>
      </c>
      <c r="D6" t="s">
        <v>730</v>
      </c>
      <c r="E6" t="s">
        <v>951</v>
      </c>
      <c r="F6">
        <v>2</v>
      </c>
      <c r="I6" t="str">
        <f t="shared" si="0"/>
        <v>(2000, 'ESR', 2000, 'decimal', 'mm/hr', 2, 'com.lnf.questionnaire.datamodel.interpretter.DetaultInterpretter', 'Raminder Ahlawat'),</v>
      </c>
    </row>
    <row r="7" spans="1:9" x14ac:dyDescent="0.35">
      <c r="A7">
        <v>3000</v>
      </c>
      <c r="B7" t="s">
        <v>932</v>
      </c>
      <c r="C7">
        <v>3000</v>
      </c>
      <c r="D7" t="s">
        <v>730</v>
      </c>
      <c r="E7" t="s">
        <v>952</v>
      </c>
      <c r="F7">
        <v>2</v>
      </c>
      <c r="I7" t="str">
        <f t="shared" si="0"/>
        <v>(3000, 'Calcium', 3000, 'decimal', 'mmol/L', 2, 'com.lnf.questionnaire.datamodel.interpretter.DetaultInterpretter', 'Raminder Ahlawat'),</v>
      </c>
    </row>
    <row r="8" spans="1:9" x14ac:dyDescent="0.35">
      <c r="A8">
        <v>3010</v>
      </c>
      <c r="B8" t="s">
        <v>58</v>
      </c>
      <c r="C8">
        <v>3000</v>
      </c>
      <c r="D8" t="s">
        <v>730</v>
      </c>
      <c r="E8" t="s">
        <v>931</v>
      </c>
      <c r="F8">
        <v>2</v>
      </c>
      <c r="I8" t="str">
        <f t="shared" si="0"/>
        <v>(3010, 'Glucose', 3000, 'decimal', 'mg/dL', 2, 'com.lnf.questionnaire.datamodel.interpretter.DetaultInterpretter', 'Raminder Ahlawat'),</v>
      </c>
    </row>
    <row r="9" spans="1:9" x14ac:dyDescent="0.35">
      <c r="A9">
        <v>3020</v>
      </c>
      <c r="B9" t="s">
        <v>933</v>
      </c>
      <c r="C9">
        <v>3000</v>
      </c>
      <c r="D9" t="s">
        <v>730</v>
      </c>
      <c r="E9" t="s">
        <v>952</v>
      </c>
      <c r="F9">
        <v>2</v>
      </c>
      <c r="I9" t="str">
        <f t="shared" si="0"/>
        <v>(3020, 'Sodium', 3000, 'decimal', 'mmol/L', 2, 'com.lnf.questionnaire.datamodel.interpretter.DetaultInterpretter', 'Raminder Ahlawat'),</v>
      </c>
    </row>
    <row r="10" spans="1:9" x14ac:dyDescent="0.35">
      <c r="A10">
        <v>3030</v>
      </c>
      <c r="B10" t="s">
        <v>934</v>
      </c>
      <c r="C10">
        <v>3000</v>
      </c>
      <c r="D10" t="s">
        <v>730</v>
      </c>
      <c r="E10" t="s">
        <v>952</v>
      </c>
      <c r="F10">
        <v>2</v>
      </c>
      <c r="I10" t="str">
        <f t="shared" si="0"/>
        <v>(3030, 'Potassium', 3000, 'decimal', 'mmol/L', 2, 'com.lnf.questionnaire.datamodel.interpretter.DetaultInterpretter', 'Raminder Ahlawat'),</v>
      </c>
    </row>
    <row r="11" spans="1:9" x14ac:dyDescent="0.35">
      <c r="A11">
        <v>3040</v>
      </c>
      <c r="B11" t="s">
        <v>935</v>
      </c>
      <c r="C11">
        <v>3000</v>
      </c>
      <c r="D11" t="s">
        <v>730</v>
      </c>
      <c r="E11" t="s">
        <v>977</v>
      </c>
      <c r="F11">
        <v>2</v>
      </c>
      <c r="I11" t="str">
        <f t="shared" si="0"/>
        <v>(3040, 'Bicarbonate', 3000, 'decimal', 'mEq/L', 2, 'com.lnf.questionnaire.datamodel.interpretter.DetaultInterpretter', 'Raminder Ahlawat'),</v>
      </c>
    </row>
    <row r="12" spans="1:9" x14ac:dyDescent="0.35">
      <c r="A12">
        <v>3050</v>
      </c>
      <c r="B12" t="s">
        <v>936</v>
      </c>
      <c r="C12">
        <v>3000</v>
      </c>
      <c r="D12" t="s">
        <v>730</v>
      </c>
      <c r="E12" t="s">
        <v>952</v>
      </c>
      <c r="F12">
        <v>2</v>
      </c>
      <c r="I12" t="str">
        <f t="shared" si="0"/>
        <v>(3050, 'Chloride', 3000, 'decimal', 'mmol/L', 2, 'com.lnf.questionnaire.datamodel.interpretter.DetaultInterpretter', 'Raminder Ahlawat'),</v>
      </c>
    </row>
    <row r="13" spans="1:9" x14ac:dyDescent="0.35">
      <c r="A13">
        <v>3060</v>
      </c>
      <c r="B13" t="s">
        <v>937</v>
      </c>
      <c r="C13">
        <v>3000</v>
      </c>
      <c r="D13" t="s">
        <v>730</v>
      </c>
      <c r="E13" t="s">
        <v>931</v>
      </c>
      <c r="F13">
        <v>2</v>
      </c>
      <c r="I13" t="str">
        <f t="shared" si="0"/>
        <v>(3060, 'Blood Urea Nitrogen (BUN)', 3000, 'decimal', 'mg/dL', 2, 'com.lnf.questionnaire.datamodel.interpretter.DetaultInterpretter', 'Raminder Ahlawat'),</v>
      </c>
    </row>
    <row r="14" spans="1:9" x14ac:dyDescent="0.35">
      <c r="A14">
        <v>3070</v>
      </c>
      <c r="B14" t="s">
        <v>938</v>
      </c>
      <c r="C14">
        <v>3000</v>
      </c>
      <c r="D14" t="s">
        <v>730</v>
      </c>
      <c r="E14" t="s">
        <v>931</v>
      </c>
      <c r="F14">
        <v>2</v>
      </c>
      <c r="I14" t="str">
        <f t="shared" si="0"/>
        <v>(3070, 'Creatinine', 3000, 'decimal', 'mg/dL', 2, 'com.lnf.questionnaire.datamodel.interpretter.DetaultInterpretter', 'Raminder Ahlawat'),</v>
      </c>
    </row>
    <row r="15" spans="1:9" x14ac:dyDescent="0.35">
      <c r="A15">
        <v>3080</v>
      </c>
      <c r="B15" t="s">
        <v>939</v>
      </c>
      <c r="C15">
        <v>3000</v>
      </c>
      <c r="D15" t="s">
        <v>730</v>
      </c>
      <c r="E15" t="s">
        <v>953</v>
      </c>
      <c r="F15">
        <v>2</v>
      </c>
      <c r="I15" t="str">
        <f t="shared" si="0"/>
        <v>(3080, 'Albumin', 3000, 'decimal', 'g/dL', 2, 'com.lnf.questionnaire.datamodel.interpretter.DetaultInterpretter', 'Raminder Ahlawat'),</v>
      </c>
    </row>
    <row r="16" spans="1:9" x14ac:dyDescent="0.35">
      <c r="A16">
        <v>3090</v>
      </c>
      <c r="B16" t="s">
        <v>954</v>
      </c>
      <c r="C16">
        <v>3000</v>
      </c>
      <c r="D16" t="s">
        <v>730</v>
      </c>
      <c r="E16" t="s">
        <v>953</v>
      </c>
      <c r="F16">
        <v>2</v>
      </c>
      <c r="I16" t="str">
        <f t="shared" si="0"/>
        <v>(3090, 'Total Protein', 3000, 'decimal', 'g/dL', 2, 'com.lnf.questionnaire.datamodel.interpretter.DetaultInterpretter', 'Raminder Ahlawat'),</v>
      </c>
    </row>
    <row r="17" spans="1:9" x14ac:dyDescent="0.35">
      <c r="A17">
        <v>3100</v>
      </c>
      <c r="B17" t="s">
        <v>940</v>
      </c>
      <c r="C17">
        <v>3000</v>
      </c>
      <c r="D17" t="s">
        <v>730</v>
      </c>
      <c r="E17" t="s">
        <v>955</v>
      </c>
      <c r="F17">
        <v>2</v>
      </c>
      <c r="I17" t="str">
        <f t="shared" si="0"/>
        <v>(3100, 'Alkaline Phosphatase (ALP)', 3000, 'decimal', 'IU/L', 2, 'com.lnf.questionnaire.datamodel.interpretter.DetaultInterpretter', 'Raminder Ahlawat'),</v>
      </c>
    </row>
    <row r="18" spans="1:9" x14ac:dyDescent="0.35">
      <c r="A18">
        <v>3110</v>
      </c>
      <c r="B18" t="s">
        <v>941</v>
      </c>
      <c r="C18">
        <v>3000</v>
      </c>
      <c r="D18" t="s">
        <v>730</v>
      </c>
      <c r="E18" t="s">
        <v>955</v>
      </c>
      <c r="F18">
        <v>2</v>
      </c>
      <c r="I18" t="str">
        <f t="shared" si="0"/>
        <v>(3110, 'Alanine Aminotransferase (ALT)', 3000, 'decimal', 'IU/L', 2, 'com.lnf.questionnaire.datamodel.interpretter.DetaultInterpretter', 'Raminder Ahlawat'),</v>
      </c>
    </row>
    <row r="19" spans="1:9" x14ac:dyDescent="0.35">
      <c r="A19">
        <v>3120</v>
      </c>
      <c r="B19" t="s">
        <v>942</v>
      </c>
      <c r="C19">
        <v>3000</v>
      </c>
      <c r="D19" t="s">
        <v>730</v>
      </c>
      <c r="E19" t="s">
        <v>955</v>
      </c>
      <c r="F19">
        <v>2</v>
      </c>
      <c r="I19" t="str">
        <f t="shared" si="0"/>
        <v>(3120, 'Aspartate Aminotransferase (AST)', 3000, 'decimal', 'IU/L', 2, 'com.lnf.questionnaire.datamodel.interpretter.DetaultInterpretter', 'Raminder Ahlawat'),</v>
      </c>
    </row>
    <row r="20" spans="1:9" x14ac:dyDescent="0.35">
      <c r="A20">
        <v>3130</v>
      </c>
      <c r="B20" t="s">
        <v>943</v>
      </c>
      <c r="C20">
        <v>3000</v>
      </c>
      <c r="D20" t="s">
        <v>730</v>
      </c>
      <c r="E20" t="s">
        <v>931</v>
      </c>
      <c r="F20">
        <v>2</v>
      </c>
      <c r="I20" t="str">
        <f t="shared" si="0"/>
        <v>(3130, 'Bilirubin', 3000, 'decimal', 'mg/dL', 2, 'com.lnf.questionnaire.datamodel.interpretter.DetaultInterpretter', 'Raminder Ahlawat'),</v>
      </c>
    </row>
    <row r="21" spans="1:9" x14ac:dyDescent="0.35">
      <c r="A21">
        <v>3140</v>
      </c>
      <c r="B21" t="s">
        <v>1065</v>
      </c>
      <c r="C21">
        <v>3000</v>
      </c>
      <c r="D21" t="s">
        <v>730</v>
      </c>
      <c r="E21" t="s">
        <v>1066</v>
      </c>
      <c r="F21">
        <v>2</v>
      </c>
      <c r="I21" t="str">
        <f t="shared" si="0"/>
        <v>(3140, 'Insulin', 3000, 'decimal', 'mcIU/mL', 2, 'com.lnf.questionnaire.datamodel.interpretter.DetaultInterpretter', 'Raminder Ahlawat'),</v>
      </c>
    </row>
    <row r="22" spans="1:9" x14ac:dyDescent="0.35">
      <c r="A22">
        <v>4000</v>
      </c>
      <c r="B22" t="s">
        <v>927</v>
      </c>
      <c r="C22">
        <v>4000</v>
      </c>
      <c r="D22" t="s">
        <v>730</v>
      </c>
      <c r="E22" t="s">
        <v>931</v>
      </c>
      <c r="F22">
        <v>2</v>
      </c>
      <c r="I22" t="str">
        <f t="shared" si="0"/>
        <v>(4000, 'High-density lipoprotein (HDL) cholesterol', 4000, 'decimal', 'mg/dL', 2, 'com.lnf.questionnaire.datamodel.interpretter.DetaultInterpretter', 'Raminder Ahlawat'),</v>
      </c>
    </row>
    <row r="23" spans="1:9" x14ac:dyDescent="0.35">
      <c r="A23">
        <v>4010</v>
      </c>
      <c r="B23" t="s">
        <v>928</v>
      </c>
      <c r="C23">
        <v>4000</v>
      </c>
      <c r="D23" t="s">
        <v>730</v>
      </c>
      <c r="E23" t="s">
        <v>931</v>
      </c>
      <c r="F23">
        <v>2</v>
      </c>
      <c r="I23" t="str">
        <f t="shared" si="0"/>
        <v>(4010, 'Low-density lipoprotein (LDL) cholesterol', 4000, 'decimal', 'mg/dL', 2, 'com.lnf.questionnaire.datamodel.interpretter.DetaultInterpretter', 'Raminder Ahlawat'),</v>
      </c>
    </row>
    <row r="24" spans="1:9" x14ac:dyDescent="0.35">
      <c r="A24">
        <v>4020</v>
      </c>
      <c r="B24" t="s">
        <v>929</v>
      </c>
      <c r="C24">
        <v>4000</v>
      </c>
      <c r="D24" t="s">
        <v>730</v>
      </c>
      <c r="E24" t="s">
        <v>931</v>
      </c>
      <c r="F24">
        <v>2</v>
      </c>
      <c r="I24" t="str">
        <f t="shared" si="0"/>
        <v>(4020, 'Triglycerides', 4000, 'decimal', 'mg/dL', 2, 'com.lnf.questionnaire.datamodel.interpretter.DetaultInterpretter', 'Raminder Ahlawat'),</v>
      </c>
    </row>
    <row r="25" spans="1:9" x14ac:dyDescent="0.35">
      <c r="A25">
        <v>4030</v>
      </c>
      <c r="B25" t="s">
        <v>930</v>
      </c>
      <c r="C25">
        <v>4000</v>
      </c>
      <c r="D25" t="s">
        <v>730</v>
      </c>
      <c r="E25" t="s">
        <v>931</v>
      </c>
      <c r="F25">
        <v>2</v>
      </c>
      <c r="I25" t="str">
        <f t="shared" si="0"/>
        <v>(4030, 'Total cholesterol', 4000, 'decimal', 'mg/dL', 2, 'com.lnf.questionnaire.datamodel.interpretter.DetaultInterpretter', 'Raminder Ahlawat'),</v>
      </c>
    </row>
    <row r="26" spans="1:9" x14ac:dyDescent="0.35">
      <c r="A26">
        <v>5000</v>
      </c>
      <c r="B26" t="s">
        <v>899</v>
      </c>
      <c r="C26">
        <v>5000</v>
      </c>
      <c r="D26" t="s">
        <v>730</v>
      </c>
      <c r="E26" t="s">
        <v>956</v>
      </c>
      <c r="F26">
        <v>2</v>
      </c>
      <c r="I26" t="str">
        <f t="shared" si="0"/>
        <v>(5000, 'Free T3', 5000, 'decimal', 'pg/dL', 2, 'com.lnf.questionnaire.datamodel.interpretter.DetaultInterpretter', 'Raminder Ahlawat'),</v>
      </c>
    </row>
    <row r="27" spans="1:9" x14ac:dyDescent="0.35">
      <c r="A27">
        <v>5010</v>
      </c>
      <c r="B27" t="s">
        <v>900</v>
      </c>
      <c r="C27">
        <v>5000</v>
      </c>
      <c r="D27" t="s">
        <v>730</v>
      </c>
      <c r="E27" t="s">
        <v>925</v>
      </c>
      <c r="F27">
        <v>2</v>
      </c>
      <c r="I27" t="str">
        <f t="shared" si="0"/>
        <v>(5010, 'Free T4', 5000, 'decimal', 'ng/dL', 2, 'com.lnf.questionnaire.datamodel.interpretter.DetaultInterpretter', 'Raminder Ahlawat'),</v>
      </c>
    </row>
    <row r="28" spans="1:9" x14ac:dyDescent="0.35">
      <c r="A28">
        <v>5020</v>
      </c>
      <c r="B28" t="s">
        <v>901</v>
      </c>
      <c r="C28">
        <v>5000</v>
      </c>
      <c r="D28" t="s">
        <v>730</v>
      </c>
      <c r="E28" t="s">
        <v>926</v>
      </c>
      <c r="F28">
        <v>2</v>
      </c>
      <c r="I28" t="str">
        <f t="shared" si="0"/>
        <v>(5020, 'TSH', 5000, 'decimal', 'mIU/L', 2, 'com.lnf.questionnaire.datamodel.interpretter.DetaultInterpretter', 'Raminder Ahlawat'),</v>
      </c>
    </row>
    <row r="29" spans="1:9" x14ac:dyDescent="0.35">
      <c r="A29">
        <v>6000</v>
      </c>
      <c r="B29" t="s">
        <v>1046</v>
      </c>
      <c r="C29">
        <v>6000</v>
      </c>
      <c r="D29" t="s">
        <v>1053</v>
      </c>
      <c r="E29" t="s">
        <v>1054</v>
      </c>
      <c r="F29">
        <v>2</v>
      </c>
      <c r="I29" t="str">
        <f t="shared" si="0"/>
        <v>(6000, 'Color and Transparency', 6000, 'option', 'NA', 2, 'com.lnf.questionnaire.datamodel.interpretter.DetaultInterpretter', 'Raminder Ahlawat'),</v>
      </c>
    </row>
    <row r="30" spans="1:9" x14ac:dyDescent="0.35">
      <c r="A30">
        <v>6010</v>
      </c>
      <c r="B30" t="s">
        <v>1047</v>
      </c>
      <c r="C30">
        <v>6000</v>
      </c>
      <c r="D30" t="s">
        <v>1053</v>
      </c>
      <c r="E30" t="s">
        <v>1054</v>
      </c>
      <c r="F30">
        <v>2</v>
      </c>
      <c r="I30" t="str">
        <f t="shared" si="0"/>
        <v>(6010, 'Specific Gravity', 6000, 'option', 'NA', 2, 'com.lnf.questionnaire.datamodel.interpretter.DetaultInterpretter', 'Raminder Ahlawat'),</v>
      </c>
    </row>
    <row r="31" spans="1:9" x14ac:dyDescent="0.35">
      <c r="A31">
        <v>6020</v>
      </c>
      <c r="B31" t="s">
        <v>1048</v>
      </c>
      <c r="C31">
        <v>6000</v>
      </c>
      <c r="D31" t="s">
        <v>730</v>
      </c>
      <c r="E31" t="s">
        <v>1052</v>
      </c>
      <c r="F31">
        <v>2</v>
      </c>
      <c r="I31" t="str">
        <f t="shared" si="0"/>
        <v>(6020, 'pH Level', 6000, 'decimal', 'pH', 2, 'com.lnf.questionnaire.datamodel.interpretter.DetaultInterpretter', 'Raminder Ahlawat'),</v>
      </c>
    </row>
    <row r="32" spans="1:9" x14ac:dyDescent="0.35">
      <c r="A32">
        <v>6030</v>
      </c>
      <c r="B32" t="s">
        <v>1049</v>
      </c>
      <c r="C32">
        <v>6000</v>
      </c>
      <c r="D32" t="s">
        <v>1063</v>
      </c>
      <c r="E32" t="s">
        <v>1054</v>
      </c>
      <c r="F32">
        <v>2</v>
      </c>
      <c r="I32" t="str">
        <f t="shared" si="0"/>
        <v>(6030, 'Protein', 6000, 'positive', 'NA', 2, 'com.lnf.questionnaire.datamodel.interpretter.DetaultInterpretter', 'Raminder Ahlawat'),</v>
      </c>
    </row>
    <row r="33" spans="1:9" x14ac:dyDescent="0.35">
      <c r="A33">
        <v>6040</v>
      </c>
      <c r="B33" t="s">
        <v>58</v>
      </c>
      <c r="C33">
        <v>6000</v>
      </c>
      <c r="D33" t="s">
        <v>730</v>
      </c>
      <c r="E33" t="s">
        <v>931</v>
      </c>
      <c r="F33">
        <v>2</v>
      </c>
      <c r="I33" t="str">
        <f t="shared" si="0"/>
        <v>(6040, 'Glucose', 6000, 'decimal', 'mg/dL', 2, 'com.lnf.questionnaire.datamodel.interpretter.DetaultInterpretter', 'Raminder Ahlawat'),</v>
      </c>
    </row>
    <row r="34" spans="1:9" x14ac:dyDescent="0.35">
      <c r="A34">
        <v>6050</v>
      </c>
      <c r="B34" t="s">
        <v>1050</v>
      </c>
      <c r="C34">
        <v>6000</v>
      </c>
      <c r="D34" t="s">
        <v>1063</v>
      </c>
      <c r="E34" t="s">
        <v>1054</v>
      </c>
      <c r="F34">
        <v>2</v>
      </c>
      <c r="I34" t="str">
        <f t="shared" si="0"/>
        <v>(6050, 'Ketones', 6000, 'positive', 'NA', 2, 'com.lnf.questionnaire.datamodel.interpretter.DetaultInterpretter', 'Raminder Ahlawat'),</v>
      </c>
    </row>
    <row r="35" spans="1:9" x14ac:dyDescent="0.35">
      <c r="A35">
        <v>6060</v>
      </c>
      <c r="B35" t="s">
        <v>1051</v>
      </c>
      <c r="C35">
        <v>6000</v>
      </c>
      <c r="D35" t="s">
        <v>1063</v>
      </c>
      <c r="E35" t="s">
        <v>1054</v>
      </c>
      <c r="F35">
        <v>2</v>
      </c>
      <c r="I35" t="str">
        <f t="shared" si="0"/>
        <v>(6060, 'Blood', 6000, 'positive', 'NA', 2, 'com.lnf.questionnaire.datamodel.interpretter.DetaultInterpretter', 'Raminder Ahlawat'),</v>
      </c>
    </row>
    <row r="36" spans="1:9" x14ac:dyDescent="0.35">
      <c r="A36">
        <v>6070</v>
      </c>
      <c r="B36" t="s">
        <v>943</v>
      </c>
      <c r="C36">
        <v>6000</v>
      </c>
      <c r="D36" t="s">
        <v>1063</v>
      </c>
      <c r="E36" t="s">
        <v>1054</v>
      </c>
      <c r="F36">
        <v>2</v>
      </c>
      <c r="I36" t="str">
        <f t="shared" si="0"/>
        <v>(6070, 'Bilirubin', 6000, 'positive', 'NA', 2, 'com.lnf.questionnaire.datamodel.interpretter.DetaultInterpretter', 'Raminder Ahlawat'),</v>
      </c>
    </row>
    <row r="37" spans="1:9" x14ac:dyDescent="0.35">
      <c r="A37">
        <v>7000</v>
      </c>
      <c r="B37" t="s">
        <v>1071</v>
      </c>
      <c r="C37">
        <v>7000</v>
      </c>
      <c r="D37" t="s">
        <v>730</v>
      </c>
      <c r="E37" t="s">
        <v>1075</v>
      </c>
      <c r="F37">
        <v>2</v>
      </c>
      <c r="I37" t="str">
        <f t="shared" si="0"/>
        <v>(7000, 'Ferritin', 7000, 'decimal', 'µg/L', 2, 'com.lnf.questionnaire.datamodel.interpretter.DetaultInterpretter', 'Raminder Ahlawat'),</v>
      </c>
    </row>
    <row r="38" spans="1:9" x14ac:dyDescent="0.35">
      <c r="A38">
        <v>7010</v>
      </c>
      <c r="B38" t="s">
        <v>1072</v>
      </c>
      <c r="C38">
        <v>7000</v>
      </c>
      <c r="D38" t="s">
        <v>730</v>
      </c>
      <c r="E38" t="s">
        <v>1076</v>
      </c>
      <c r="F38">
        <v>2</v>
      </c>
      <c r="I38" t="str">
        <f t="shared" si="0"/>
        <v>(7010, 'Iron', 7000, 'decimal', 'µmol/L', 2, 'com.lnf.questionnaire.datamodel.interpretter.DetaultInterpretter', 'Raminder Ahlawat'),</v>
      </c>
    </row>
    <row r="39" spans="1:9" x14ac:dyDescent="0.35">
      <c r="A39">
        <v>7020</v>
      </c>
      <c r="B39" t="s">
        <v>1073</v>
      </c>
      <c r="C39">
        <v>7000</v>
      </c>
      <c r="D39" t="s">
        <v>730</v>
      </c>
      <c r="E39" s="35" t="s">
        <v>1077</v>
      </c>
      <c r="F39">
        <v>2</v>
      </c>
      <c r="I39" t="str">
        <f t="shared" si="0"/>
        <v>(7020, 'Reticulocytes', 7000, 'decimal', '%', 2, 'com.lnf.questionnaire.datamodel.interpretter.DetaultInterpretter', 'Raminder Ahlawat'),</v>
      </c>
    </row>
    <row r="40" spans="1:9" x14ac:dyDescent="0.35">
      <c r="A40">
        <v>7030</v>
      </c>
      <c r="B40" t="s">
        <v>1074</v>
      </c>
      <c r="C40">
        <v>7000</v>
      </c>
      <c r="D40" t="s">
        <v>1053</v>
      </c>
      <c r="E40" t="s">
        <v>1054</v>
      </c>
      <c r="F40">
        <v>2</v>
      </c>
      <c r="I40" t="str">
        <f t="shared" si="0"/>
        <v>(7030, 'Blood Smear', 7000, 'option', 'NA', 2, 'com.lnf.questionnaire.datamodel.interpretter.DetaultInterpretter', 'Raminder Ahlawat'),</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5F814-FBA3-4549-9154-E836EF354AD4}">
  <dimension ref="A1:AK151"/>
  <sheetViews>
    <sheetView zoomScale="76" zoomScaleNormal="76" workbookViewId="0">
      <pane xSplit="1" ySplit="1" topLeftCell="D2" activePane="bottomRight" state="frozenSplit"/>
      <selection pane="topRight" activeCell="B1" sqref="B1"/>
      <selection pane="bottomLeft" activeCell="A2" sqref="A2"/>
      <selection pane="bottomRight" activeCell="L1" sqref="L1"/>
    </sheetView>
  </sheetViews>
  <sheetFormatPr defaultRowHeight="14.5" x14ac:dyDescent="0.35"/>
  <cols>
    <col min="2" max="2" width="23" customWidth="1"/>
    <col min="3" max="3" width="22.453125" bestFit="1" customWidth="1"/>
    <col min="4" max="4" width="23.54296875" customWidth="1"/>
    <col min="5" max="5" width="22.453125" bestFit="1" customWidth="1"/>
    <col min="6" max="6" width="23.54296875" customWidth="1"/>
    <col min="7" max="7" width="57.54296875" customWidth="1"/>
    <col min="8" max="11" width="7.7265625" bestFit="1" customWidth="1"/>
    <col min="13" max="13" width="8.7265625" customWidth="1"/>
  </cols>
  <sheetData>
    <row r="1" spans="1:37" x14ac:dyDescent="0.35">
      <c r="A1" s="32" t="s">
        <v>148</v>
      </c>
      <c r="B1" s="32" t="s">
        <v>156</v>
      </c>
      <c r="C1" s="32" t="s">
        <v>907</v>
      </c>
      <c r="D1" s="32" t="s">
        <v>908</v>
      </c>
      <c r="E1" s="32" t="s">
        <v>958</v>
      </c>
      <c r="F1" s="32" t="s">
        <v>959</v>
      </c>
      <c r="G1" s="32" t="s">
        <v>986</v>
      </c>
      <c r="H1" s="32" t="s">
        <v>909</v>
      </c>
      <c r="I1" s="32" t="s">
        <v>910</v>
      </c>
      <c r="J1" s="32" t="s">
        <v>911</v>
      </c>
      <c r="K1" s="32" t="s">
        <v>174</v>
      </c>
      <c r="M1" t="s">
        <v>1410</v>
      </c>
      <c r="O1" t="s">
        <v>1415</v>
      </c>
    </row>
    <row r="2" spans="1:37" s="80" customFormat="1" x14ac:dyDescent="0.35">
      <c r="A2" s="80">
        <v>1000</v>
      </c>
      <c r="B2" s="80" t="s">
        <v>917</v>
      </c>
      <c r="C2" s="80">
        <v>1000</v>
      </c>
      <c r="D2" s="80" t="s">
        <v>903</v>
      </c>
      <c r="E2" s="80">
        <v>100</v>
      </c>
      <c r="F2" s="80" t="s">
        <v>171</v>
      </c>
      <c r="G2" s="80" t="s">
        <v>960</v>
      </c>
      <c r="H2" s="80">
        <v>4.5</v>
      </c>
      <c r="I2" s="80">
        <v>6.1</v>
      </c>
      <c r="K2" s="80">
        <v>3</v>
      </c>
      <c r="L2"/>
      <c r="M2" t="str">
        <f>CONCATENATE("(", A2,", '",B2,"', ",C2,", '",D2, "', '",E2,"', '", F2, "', '", G2, "', ", IF(H2="", "NULL", H2), ", ", IF(I2="","NULL", I2), ", ", IF(J2="", "NULL", J2), ", ", K2, ", 'Raminder Ahlawat'),")</f>
        <v>(1000, 'Normal (RBC)', 1000, 'Red Blood Cells (RBC)', '100', 'Gender', '["Man"]', 4.5, 6.1, NULL, 3, 'Raminder Ahlawat'),</v>
      </c>
      <c r="N2"/>
      <c r="O2" t="str">
        <f>CONCATENATE(O$1,IF(H2="", "NULL", H2),", UBOUND = ",IF(I2="", "NULL", I2), " WHERE ID = ",A2,";")</f>
        <v>update TEST_RESULT set LBOUND = 4.5, UBOUND = 6.1 WHERE ID = 1000;</v>
      </c>
      <c r="P2"/>
      <c r="Q2"/>
      <c r="R2"/>
      <c r="S2"/>
      <c r="T2"/>
      <c r="U2"/>
      <c r="V2"/>
      <c r="W2"/>
      <c r="X2"/>
      <c r="Y2"/>
      <c r="Z2"/>
      <c r="AA2"/>
      <c r="AB2"/>
      <c r="AC2"/>
      <c r="AD2"/>
      <c r="AE2"/>
      <c r="AF2"/>
      <c r="AG2"/>
      <c r="AH2"/>
      <c r="AI2"/>
      <c r="AJ2"/>
      <c r="AK2"/>
    </row>
    <row r="3" spans="1:37" s="80" customFormat="1" x14ac:dyDescent="0.35">
      <c r="A3" s="80">
        <v>1001</v>
      </c>
      <c r="B3" s="80" t="s">
        <v>917</v>
      </c>
      <c r="C3" s="80">
        <v>1000</v>
      </c>
      <c r="D3" s="80" t="s">
        <v>903</v>
      </c>
      <c r="E3" s="80">
        <v>100</v>
      </c>
      <c r="F3" s="80" t="s">
        <v>171</v>
      </c>
      <c r="G3" s="80" t="s">
        <v>961</v>
      </c>
      <c r="H3" s="80">
        <v>4</v>
      </c>
      <c r="I3" s="80">
        <v>5.4</v>
      </c>
      <c r="K3" s="80">
        <v>3</v>
      </c>
      <c r="L3"/>
      <c r="M3" t="str">
        <f t="shared" ref="M3:M66" si="0">CONCATENATE("(", A3,", '",B3,"', ",C3,", '",D3, "', '",E3,"', '", F3, "', '", G3, "', ", IF(H3="", "NULL", H3), ", ", IF(I3="","NULL", I3), ", ", IF(J3="", "NULL", J3), ", ", K3, ", 'Raminder Ahlawat'),")</f>
        <v>(1001, 'Normal (RBC)', 1000, 'Red Blood Cells (RBC)', '100', 'Gender', '["Woman"]', 4, 5.4, NULL, 3, 'Raminder Ahlawat'),</v>
      </c>
      <c r="N3"/>
      <c r="O3" t="str">
        <f t="shared" ref="O3:O66" si="1">CONCATENATE(O$1,IF(H3="", "NULL", H3),", UBOUND = ",IF(I3="", "NULL", I3), " WHERE ID = ",A3,";")</f>
        <v>update TEST_RESULT set LBOUND = 4, UBOUND = 5.4 WHERE ID = 1001;</v>
      </c>
      <c r="P3"/>
      <c r="Q3"/>
      <c r="R3"/>
      <c r="S3"/>
      <c r="T3"/>
      <c r="U3"/>
      <c r="V3"/>
      <c r="W3"/>
      <c r="X3"/>
      <c r="Y3"/>
      <c r="Z3"/>
      <c r="AA3"/>
      <c r="AB3"/>
      <c r="AC3"/>
      <c r="AD3"/>
      <c r="AE3"/>
      <c r="AF3"/>
      <c r="AG3"/>
      <c r="AH3"/>
      <c r="AI3"/>
      <c r="AJ3"/>
      <c r="AK3"/>
    </row>
    <row r="4" spans="1:37" s="80" customFormat="1" x14ac:dyDescent="0.35">
      <c r="A4" s="80">
        <v>1010</v>
      </c>
      <c r="B4" s="80" t="s">
        <v>918</v>
      </c>
      <c r="C4" s="80">
        <v>1010</v>
      </c>
      <c r="D4" s="80" t="s">
        <v>904</v>
      </c>
      <c r="H4" s="80">
        <v>4</v>
      </c>
      <c r="I4" s="80">
        <v>10.8</v>
      </c>
      <c r="K4" s="80">
        <v>3</v>
      </c>
      <c r="L4"/>
      <c r="M4" t="str">
        <f t="shared" si="0"/>
        <v>(1010, 'Normal (WBC)', 1010, 'White Blood Cells (WBC)', '', '', '', 4, 10.8, NULL, 3, 'Raminder Ahlawat'),</v>
      </c>
      <c r="N4"/>
      <c r="O4" t="str">
        <f t="shared" si="1"/>
        <v>update TEST_RESULT set LBOUND = 4, UBOUND = 10.8 WHERE ID = 1010;</v>
      </c>
      <c r="P4"/>
      <c r="Q4"/>
      <c r="R4"/>
      <c r="S4"/>
      <c r="T4"/>
      <c r="U4"/>
      <c r="V4"/>
      <c r="W4"/>
      <c r="X4"/>
      <c r="Y4"/>
      <c r="Z4"/>
      <c r="AA4"/>
      <c r="AB4"/>
      <c r="AC4"/>
      <c r="AD4"/>
      <c r="AE4"/>
      <c r="AF4"/>
      <c r="AG4"/>
      <c r="AH4"/>
      <c r="AI4"/>
      <c r="AJ4"/>
      <c r="AK4"/>
    </row>
    <row r="5" spans="1:37" s="80" customFormat="1" x14ac:dyDescent="0.35">
      <c r="A5" s="80">
        <v>1020</v>
      </c>
      <c r="B5" s="80" t="s">
        <v>919</v>
      </c>
      <c r="C5" s="80">
        <v>1020</v>
      </c>
      <c r="D5" s="80" t="s">
        <v>905</v>
      </c>
      <c r="H5" s="80">
        <v>140</v>
      </c>
      <c r="I5" s="80">
        <v>400</v>
      </c>
      <c r="K5" s="80">
        <v>3</v>
      </c>
      <c r="L5"/>
      <c r="M5" t="str">
        <f t="shared" si="0"/>
        <v>(1020, 'Normal (Platelets)', 1020, 'Platelets', '', '', '', 140, 400, NULL, 3, 'Raminder Ahlawat'),</v>
      </c>
      <c r="N5"/>
      <c r="O5" t="str">
        <f t="shared" si="1"/>
        <v>update TEST_RESULT set LBOUND = 140, UBOUND = 400 WHERE ID = 1020;</v>
      </c>
      <c r="P5"/>
      <c r="Q5"/>
      <c r="R5"/>
      <c r="S5"/>
      <c r="T5"/>
      <c r="U5"/>
      <c r="V5"/>
      <c r="W5"/>
      <c r="X5"/>
      <c r="Y5"/>
      <c r="Z5"/>
      <c r="AA5"/>
      <c r="AB5"/>
      <c r="AC5"/>
      <c r="AD5"/>
      <c r="AE5"/>
      <c r="AF5"/>
      <c r="AG5"/>
      <c r="AH5"/>
      <c r="AI5"/>
      <c r="AJ5"/>
      <c r="AK5"/>
    </row>
    <row r="6" spans="1:37" s="80" customFormat="1" x14ac:dyDescent="0.35">
      <c r="A6" s="80">
        <v>1030</v>
      </c>
      <c r="B6" s="80" t="s">
        <v>920</v>
      </c>
      <c r="C6" s="80">
        <v>1030</v>
      </c>
      <c r="D6" s="80" t="s">
        <v>906</v>
      </c>
      <c r="E6" s="80">
        <v>100</v>
      </c>
      <c r="F6" s="80" t="s">
        <v>171</v>
      </c>
      <c r="G6" s="80" t="s">
        <v>960</v>
      </c>
      <c r="H6" s="80">
        <v>13</v>
      </c>
      <c r="I6" s="80">
        <v>17</v>
      </c>
      <c r="K6" s="80">
        <v>3</v>
      </c>
      <c r="L6"/>
      <c r="M6" t="str">
        <f t="shared" si="0"/>
        <v>(1030, 'Normal (Hemoglobin)', 1030, 'Hemoglobin', '100', 'Gender', '["Man"]', 13, 17, NULL, 3, 'Raminder Ahlawat'),</v>
      </c>
      <c r="N6"/>
      <c r="O6" t="str">
        <f t="shared" si="1"/>
        <v>update TEST_RESULT set LBOUND = 13, UBOUND = 17 WHERE ID = 1030;</v>
      </c>
      <c r="P6"/>
      <c r="Q6"/>
      <c r="R6"/>
      <c r="S6"/>
      <c r="T6"/>
      <c r="U6"/>
      <c r="V6"/>
      <c r="W6"/>
      <c r="X6"/>
      <c r="Y6"/>
      <c r="Z6"/>
      <c r="AA6"/>
      <c r="AB6"/>
      <c r="AC6"/>
      <c r="AD6"/>
      <c r="AE6"/>
      <c r="AF6"/>
      <c r="AG6"/>
      <c r="AH6"/>
      <c r="AI6"/>
      <c r="AJ6"/>
      <c r="AK6"/>
    </row>
    <row r="7" spans="1:37" s="80" customFormat="1" x14ac:dyDescent="0.35">
      <c r="A7" s="80">
        <v>1031</v>
      </c>
      <c r="B7" s="80" t="s">
        <v>920</v>
      </c>
      <c r="C7" s="80">
        <v>1030</v>
      </c>
      <c r="D7" s="80" t="s">
        <v>906</v>
      </c>
      <c r="E7" s="80">
        <v>100</v>
      </c>
      <c r="F7" s="80" t="s">
        <v>171</v>
      </c>
      <c r="G7" s="80" t="s">
        <v>961</v>
      </c>
      <c r="H7" s="80">
        <v>12</v>
      </c>
      <c r="I7" s="80">
        <v>16</v>
      </c>
      <c r="K7" s="80">
        <v>3</v>
      </c>
      <c r="L7"/>
      <c r="M7" t="str">
        <f t="shared" si="0"/>
        <v>(1031, 'Normal (Hemoglobin)', 1030, 'Hemoglobin', '100', 'Gender', '["Woman"]', 12, 16, NULL, 3, 'Raminder Ahlawat'),</v>
      </c>
      <c r="N7"/>
      <c r="O7" t="str">
        <f t="shared" si="1"/>
        <v>update TEST_RESULT set LBOUND = 12, UBOUND = 16 WHERE ID = 1031;</v>
      </c>
      <c r="P7"/>
      <c r="Q7"/>
      <c r="R7"/>
      <c r="S7"/>
      <c r="T7"/>
      <c r="U7"/>
      <c r="V7"/>
      <c r="W7"/>
      <c r="X7"/>
      <c r="Y7"/>
      <c r="Z7"/>
      <c r="AA7"/>
      <c r="AB7"/>
      <c r="AC7"/>
      <c r="AD7"/>
      <c r="AE7"/>
      <c r="AF7"/>
      <c r="AG7"/>
      <c r="AH7"/>
      <c r="AI7"/>
      <c r="AJ7"/>
      <c r="AK7"/>
    </row>
    <row r="8" spans="1:37" s="80" customFormat="1" x14ac:dyDescent="0.35">
      <c r="A8" s="80">
        <v>1002</v>
      </c>
      <c r="B8" s="80" t="s">
        <v>987</v>
      </c>
      <c r="C8" s="80">
        <v>1000</v>
      </c>
      <c r="D8" s="80" t="s">
        <v>903</v>
      </c>
      <c r="E8" s="80">
        <v>100</v>
      </c>
      <c r="F8" s="80" t="s">
        <v>171</v>
      </c>
      <c r="G8" s="80" t="s">
        <v>960</v>
      </c>
      <c r="H8" s="80">
        <v>3.5</v>
      </c>
      <c r="I8" s="80">
        <v>4.5</v>
      </c>
      <c r="K8" s="80">
        <v>2</v>
      </c>
      <c r="L8"/>
      <c r="M8" t="str">
        <f t="shared" si="0"/>
        <v>(1002, 'Hypo (RBC)', 1000, 'Red Blood Cells (RBC)', '100', 'Gender', '["Man"]', 3.5, 4.5, NULL, 2, 'Raminder Ahlawat'),</v>
      </c>
      <c r="N8"/>
      <c r="O8" t="str">
        <f t="shared" si="1"/>
        <v>update TEST_RESULT set LBOUND = 3.5, UBOUND = 4.5 WHERE ID = 1002;</v>
      </c>
      <c r="P8"/>
      <c r="Q8"/>
      <c r="R8"/>
      <c r="S8"/>
      <c r="T8"/>
      <c r="U8"/>
      <c r="V8"/>
      <c r="W8"/>
      <c r="X8"/>
      <c r="Y8"/>
      <c r="Z8"/>
      <c r="AA8"/>
      <c r="AB8"/>
      <c r="AC8"/>
      <c r="AD8"/>
      <c r="AE8"/>
      <c r="AF8"/>
      <c r="AG8"/>
      <c r="AH8"/>
      <c r="AI8"/>
      <c r="AJ8"/>
      <c r="AK8"/>
    </row>
    <row r="9" spans="1:37" s="80" customFormat="1" x14ac:dyDescent="0.35">
      <c r="A9" s="80">
        <v>1003</v>
      </c>
      <c r="B9" s="80" t="s">
        <v>987</v>
      </c>
      <c r="C9" s="80">
        <v>1000</v>
      </c>
      <c r="D9" s="80" t="s">
        <v>903</v>
      </c>
      <c r="E9" s="80">
        <v>100</v>
      </c>
      <c r="F9" s="80" t="s">
        <v>171</v>
      </c>
      <c r="G9" s="80" t="s">
        <v>961</v>
      </c>
      <c r="H9" s="80">
        <v>3</v>
      </c>
      <c r="I9" s="80">
        <v>4</v>
      </c>
      <c r="K9" s="80">
        <v>2</v>
      </c>
      <c r="L9"/>
      <c r="M9" t="str">
        <f t="shared" si="0"/>
        <v>(1003, 'Hypo (RBC)', 1000, 'Red Blood Cells (RBC)', '100', 'Gender', '["Woman"]', 3, 4, NULL, 2, 'Raminder Ahlawat'),</v>
      </c>
      <c r="N9"/>
      <c r="O9" t="str">
        <f t="shared" si="1"/>
        <v>update TEST_RESULT set LBOUND = 3, UBOUND = 4 WHERE ID = 1003;</v>
      </c>
      <c r="P9"/>
      <c r="Q9"/>
      <c r="R9"/>
      <c r="S9"/>
      <c r="T9"/>
      <c r="U9"/>
      <c r="V9"/>
      <c r="W9"/>
      <c r="X9"/>
      <c r="Y9"/>
      <c r="Z9"/>
      <c r="AA9"/>
      <c r="AB9"/>
      <c r="AC9"/>
      <c r="AD9"/>
      <c r="AE9"/>
      <c r="AF9"/>
      <c r="AG9"/>
      <c r="AH9"/>
      <c r="AI9"/>
      <c r="AJ9"/>
      <c r="AK9"/>
    </row>
    <row r="10" spans="1:37" s="80" customFormat="1" x14ac:dyDescent="0.35">
      <c r="A10" s="80">
        <v>1011</v>
      </c>
      <c r="B10" s="80" t="s">
        <v>988</v>
      </c>
      <c r="C10" s="80">
        <v>1010</v>
      </c>
      <c r="D10" s="80" t="s">
        <v>904</v>
      </c>
      <c r="H10" s="80">
        <v>3</v>
      </c>
      <c r="I10" s="80">
        <v>4</v>
      </c>
      <c r="K10" s="80">
        <v>2</v>
      </c>
      <c r="L10"/>
      <c r="M10" t="str">
        <f t="shared" si="0"/>
        <v>(1011, 'Hypo (WBC)', 1010, 'White Blood Cells (WBC)', '', '', '', 3, 4, NULL, 2, 'Raminder Ahlawat'),</v>
      </c>
      <c r="N10"/>
      <c r="O10" t="str">
        <f t="shared" si="1"/>
        <v>update TEST_RESULT set LBOUND = 3, UBOUND = 4 WHERE ID = 1011;</v>
      </c>
      <c r="P10"/>
      <c r="Q10"/>
      <c r="R10"/>
      <c r="S10"/>
      <c r="T10"/>
      <c r="U10"/>
      <c r="V10"/>
      <c r="W10"/>
      <c r="X10"/>
      <c r="Y10"/>
      <c r="Z10"/>
      <c r="AA10"/>
      <c r="AB10"/>
      <c r="AC10"/>
      <c r="AD10"/>
      <c r="AE10"/>
      <c r="AF10"/>
      <c r="AG10"/>
      <c r="AH10"/>
      <c r="AI10"/>
      <c r="AJ10"/>
      <c r="AK10"/>
    </row>
    <row r="11" spans="1:37" s="80" customFormat="1" x14ac:dyDescent="0.35">
      <c r="A11" s="80">
        <v>1021</v>
      </c>
      <c r="B11" s="80" t="s">
        <v>989</v>
      </c>
      <c r="C11" s="80">
        <v>1020</v>
      </c>
      <c r="D11" s="80" t="s">
        <v>905</v>
      </c>
      <c r="H11" s="80">
        <v>100</v>
      </c>
      <c r="I11" s="80">
        <v>140</v>
      </c>
      <c r="K11" s="80">
        <v>2</v>
      </c>
      <c r="L11"/>
      <c r="M11" t="str">
        <f t="shared" si="0"/>
        <v>(1021, 'Hypo (Platelets)', 1020, 'Platelets', '', '', '', 100, 140, NULL, 2, 'Raminder Ahlawat'),</v>
      </c>
      <c r="N11"/>
      <c r="O11" t="str">
        <f t="shared" si="1"/>
        <v>update TEST_RESULT set LBOUND = 100, UBOUND = 140 WHERE ID = 1021;</v>
      </c>
      <c r="P11"/>
      <c r="Q11"/>
      <c r="R11"/>
      <c r="S11"/>
      <c r="T11"/>
      <c r="U11"/>
      <c r="V11"/>
      <c r="W11"/>
      <c r="X11"/>
      <c r="Y11"/>
      <c r="Z11"/>
      <c r="AA11"/>
      <c r="AB11"/>
      <c r="AC11"/>
      <c r="AD11"/>
      <c r="AE11"/>
      <c r="AF11"/>
      <c r="AG11"/>
      <c r="AH11"/>
      <c r="AI11"/>
      <c r="AJ11"/>
      <c r="AK11"/>
    </row>
    <row r="12" spans="1:37" s="80" customFormat="1" x14ac:dyDescent="0.35">
      <c r="A12" s="80">
        <v>1032</v>
      </c>
      <c r="B12" s="80" t="s">
        <v>990</v>
      </c>
      <c r="C12" s="80">
        <v>1030</v>
      </c>
      <c r="D12" s="80" t="s">
        <v>906</v>
      </c>
      <c r="E12" s="80">
        <v>100</v>
      </c>
      <c r="F12" s="80" t="s">
        <v>171</v>
      </c>
      <c r="G12" s="80" t="s">
        <v>960</v>
      </c>
      <c r="H12" s="80">
        <v>10</v>
      </c>
      <c r="I12" s="80">
        <v>13</v>
      </c>
      <c r="K12" s="80">
        <v>2</v>
      </c>
      <c r="L12"/>
      <c r="M12" t="str">
        <f t="shared" si="0"/>
        <v>(1032, 'Hypo (Hemoglobin)', 1030, 'Hemoglobin', '100', 'Gender', '["Man"]', 10, 13, NULL, 2, 'Raminder Ahlawat'),</v>
      </c>
      <c r="N12"/>
      <c r="O12" t="str">
        <f t="shared" si="1"/>
        <v>update TEST_RESULT set LBOUND = 10, UBOUND = 13 WHERE ID = 1032;</v>
      </c>
      <c r="P12"/>
      <c r="Q12"/>
      <c r="R12"/>
      <c r="S12"/>
      <c r="T12"/>
      <c r="U12"/>
      <c r="V12"/>
      <c r="W12"/>
      <c r="X12"/>
      <c r="Y12"/>
      <c r="Z12"/>
      <c r="AA12"/>
      <c r="AB12"/>
      <c r="AC12"/>
      <c r="AD12"/>
      <c r="AE12"/>
      <c r="AF12"/>
      <c r="AG12"/>
      <c r="AH12"/>
      <c r="AI12"/>
      <c r="AJ12"/>
      <c r="AK12"/>
    </row>
    <row r="13" spans="1:37" s="80" customFormat="1" x14ac:dyDescent="0.35">
      <c r="A13" s="80">
        <v>1033</v>
      </c>
      <c r="B13" s="80" t="s">
        <v>990</v>
      </c>
      <c r="C13" s="80">
        <v>1030</v>
      </c>
      <c r="D13" s="80" t="s">
        <v>906</v>
      </c>
      <c r="E13" s="80">
        <v>100</v>
      </c>
      <c r="F13" s="80" t="s">
        <v>171</v>
      </c>
      <c r="G13" s="80" t="s">
        <v>961</v>
      </c>
      <c r="H13" s="80">
        <v>9</v>
      </c>
      <c r="I13" s="80">
        <v>12</v>
      </c>
      <c r="K13" s="80">
        <v>2</v>
      </c>
      <c r="L13"/>
      <c r="M13" t="str">
        <f t="shared" si="0"/>
        <v>(1033, 'Hypo (Hemoglobin)', 1030, 'Hemoglobin', '100', 'Gender', '["Woman"]', 9, 12, NULL, 2, 'Raminder Ahlawat'),</v>
      </c>
      <c r="N13"/>
      <c r="O13" t="str">
        <f t="shared" si="1"/>
        <v>update TEST_RESULT set LBOUND = 9, UBOUND = 12 WHERE ID = 1033;</v>
      </c>
      <c r="P13"/>
      <c r="Q13"/>
      <c r="R13"/>
      <c r="S13"/>
      <c r="T13"/>
      <c r="U13"/>
      <c r="V13"/>
      <c r="W13"/>
      <c r="X13"/>
      <c r="Y13"/>
      <c r="Z13"/>
      <c r="AA13"/>
      <c r="AB13"/>
      <c r="AC13"/>
      <c r="AD13"/>
      <c r="AE13"/>
      <c r="AF13"/>
      <c r="AG13"/>
      <c r="AH13"/>
      <c r="AI13"/>
      <c r="AJ13"/>
      <c r="AK13"/>
    </row>
    <row r="14" spans="1:37" s="80" customFormat="1" x14ac:dyDescent="0.35">
      <c r="A14" s="80">
        <v>1004</v>
      </c>
      <c r="B14" s="80" t="s">
        <v>991</v>
      </c>
      <c r="C14" s="80">
        <v>1000</v>
      </c>
      <c r="D14" s="80" t="s">
        <v>903</v>
      </c>
      <c r="E14" s="80">
        <v>100</v>
      </c>
      <c r="F14" s="80" t="s">
        <v>171</v>
      </c>
      <c r="G14" s="80" t="s">
        <v>960</v>
      </c>
      <c r="H14" s="80">
        <v>6.1</v>
      </c>
      <c r="I14" s="80">
        <v>8</v>
      </c>
      <c r="K14" s="80">
        <v>2</v>
      </c>
      <c r="L14"/>
      <c r="M14" t="str">
        <f t="shared" si="0"/>
        <v>(1004, 'Hyper (RBC)', 1000, 'Red Blood Cells (RBC)', '100', 'Gender', '["Man"]', 6.1, 8, NULL, 2, 'Raminder Ahlawat'),</v>
      </c>
      <c r="N14"/>
      <c r="O14" t="str">
        <f t="shared" si="1"/>
        <v>update TEST_RESULT set LBOUND = 6.1, UBOUND = 8 WHERE ID = 1004;</v>
      </c>
      <c r="P14"/>
      <c r="Q14"/>
      <c r="R14"/>
      <c r="S14"/>
      <c r="T14"/>
      <c r="U14"/>
      <c r="V14"/>
      <c r="W14"/>
      <c r="X14"/>
      <c r="Y14"/>
      <c r="Z14"/>
      <c r="AA14"/>
      <c r="AB14"/>
      <c r="AC14"/>
      <c r="AD14"/>
      <c r="AE14"/>
      <c r="AF14"/>
      <c r="AG14"/>
      <c r="AH14"/>
      <c r="AI14"/>
      <c r="AJ14"/>
      <c r="AK14"/>
    </row>
    <row r="15" spans="1:37" s="80" customFormat="1" x14ac:dyDescent="0.35">
      <c r="A15" s="80">
        <v>1005</v>
      </c>
      <c r="B15" s="80" t="s">
        <v>991</v>
      </c>
      <c r="C15" s="80">
        <v>1000</v>
      </c>
      <c r="D15" s="80" t="s">
        <v>903</v>
      </c>
      <c r="E15" s="80">
        <v>100</v>
      </c>
      <c r="F15" s="80" t="s">
        <v>171</v>
      </c>
      <c r="G15" s="80" t="s">
        <v>961</v>
      </c>
      <c r="H15" s="80">
        <v>5.4</v>
      </c>
      <c r="I15" s="80">
        <v>7</v>
      </c>
      <c r="K15" s="80">
        <v>2</v>
      </c>
      <c r="L15"/>
      <c r="M15" t="str">
        <f t="shared" si="0"/>
        <v>(1005, 'Hyper (RBC)', 1000, 'Red Blood Cells (RBC)', '100', 'Gender', '["Woman"]', 5.4, 7, NULL, 2, 'Raminder Ahlawat'),</v>
      </c>
      <c r="N15"/>
      <c r="O15" t="str">
        <f t="shared" si="1"/>
        <v>update TEST_RESULT set LBOUND = 5.4, UBOUND = 7 WHERE ID = 1005;</v>
      </c>
      <c r="P15"/>
      <c r="Q15"/>
      <c r="R15"/>
      <c r="S15"/>
      <c r="T15"/>
      <c r="U15"/>
      <c r="V15"/>
      <c r="W15"/>
      <c r="X15"/>
      <c r="Y15"/>
      <c r="Z15"/>
      <c r="AA15"/>
      <c r="AB15"/>
      <c r="AC15"/>
      <c r="AD15"/>
      <c r="AE15"/>
      <c r="AF15"/>
      <c r="AG15"/>
      <c r="AH15"/>
      <c r="AI15"/>
      <c r="AJ15"/>
      <c r="AK15"/>
    </row>
    <row r="16" spans="1:37" s="80" customFormat="1" x14ac:dyDescent="0.35">
      <c r="A16" s="80">
        <v>1012</v>
      </c>
      <c r="B16" s="80" t="s">
        <v>992</v>
      </c>
      <c r="C16" s="80">
        <v>1010</v>
      </c>
      <c r="D16" s="80" t="s">
        <v>904</v>
      </c>
      <c r="H16" s="80">
        <v>10.8</v>
      </c>
      <c r="I16" s="80">
        <v>12</v>
      </c>
      <c r="K16" s="80">
        <v>2</v>
      </c>
      <c r="L16"/>
      <c r="M16" t="str">
        <f t="shared" si="0"/>
        <v>(1012, 'Hyper (WBC)', 1010, 'White Blood Cells (WBC)', '', '', '', 10.8, 12, NULL, 2, 'Raminder Ahlawat'),</v>
      </c>
      <c r="N16"/>
      <c r="O16" t="str">
        <f t="shared" si="1"/>
        <v>update TEST_RESULT set LBOUND = 10.8, UBOUND = 12 WHERE ID = 1012;</v>
      </c>
      <c r="P16"/>
      <c r="Q16"/>
      <c r="R16"/>
      <c r="S16"/>
      <c r="T16"/>
      <c r="U16"/>
      <c r="V16"/>
      <c r="W16"/>
      <c r="X16"/>
      <c r="Y16"/>
      <c r="Z16"/>
      <c r="AA16"/>
      <c r="AB16"/>
      <c r="AC16"/>
      <c r="AD16"/>
      <c r="AE16"/>
      <c r="AF16"/>
      <c r="AG16"/>
      <c r="AH16"/>
      <c r="AI16"/>
      <c r="AJ16"/>
      <c r="AK16"/>
    </row>
    <row r="17" spans="1:37" s="80" customFormat="1" x14ac:dyDescent="0.35">
      <c r="A17" s="80">
        <v>1022</v>
      </c>
      <c r="B17" s="80" t="s">
        <v>993</v>
      </c>
      <c r="C17" s="80">
        <v>1020</v>
      </c>
      <c r="D17" s="80" t="s">
        <v>905</v>
      </c>
      <c r="H17" s="80">
        <v>400</v>
      </c>
      <c r="I17" s="80">
        <v>500</v>
      </c>
      <c r="K17" s="80">
        <v>2</v>
      </c>
      <c r="L17"/>
      <c r="M17" t="str">
        <f t="shared" si="0"/>
        <v>(1022, 'Hyper (Platelets)', 1020, 'Platelets', '', '', '', 400, 500, NULL, 2, 'Raminder Ahlawat'),</v>
      </c>
      <c r="N17"/>
      <c r="O17" t="str">
        <f t="shared" si="1"/>
        <v>update TEST_RESULT set LBOUND = 400, UBOUND = 500 WHERE ID = 1022;</v>
      </c>
      <c r="P17"/>
      <c r="Q17"/>
      <c r="R17"/>
      <c r="S17"/>
      <c r="T17"/>
      <c r="U17"/>
      <c r="V17"/>
      <c r="W17"/>
      <c r="X17"/>
      <c r="Y17"/>
      <c r="Z17"/>
      <c r="AA17"/>
      <c r="AB17"/>
      <c r="AC17"/>
      <c r="AD17"/>
      <c r="AE17"/>
      <c r="AF17"/>
      <c r="AG17"/>
      <c r="AH17"/>
      <c r="AI17"/>
      <c r="AJ17"/>
      <c r="AK17"/>
    </row>
    <row r="18" spans="1:37" s="80" customFormat="1" x14ac:dyDescent="0.35">
      <c r="A18" s="80">
        <v>1034</v>
      </c>
      <c r="B18" s="80" t="s">
        <v>994</v>
      </c>
      <c r="C18" s="80">
        <v>1030</v>
      </c>
      <c r="D18" s="80" t="s">
        <v>906</v>
      </c>
      <c r="E18" s="80">
        <v>100</v>
      </c>
      <c r="F18" s="80" t="s">
        <v>171</v>
      </c>
      <c r="G18" s="80" t="s">
        <v>960</v>
      </c>
      <c r="H18" s="80">
        <v>17</v>
      </c>
      <c r="I18" s="80">
        <v>19</v>
      </c>
      <c r="K18" s="80">
        <v>2</v>
      </c>
      <c r="L18"/>
      <c r="M18" t="str">
        <f t="shared" si="0"/>
        <v>(1034, 'Hyper (Hemoglobin)', 1030, 'Hemoglobin', '100', 'Gender', '["Man"]', 17, 19, NULL, 2, 'Raminder Ahlawat'),</v>
      </c>
      <c r="N18"/>
      <c r="O18" t="str">
        <f t="shared" si="1"/>
        <v>update TEST_RESULT set LBOUND = 17, UBOUND = 19 WHERE ID = 1034;</v>
      </c>
      <c r="P18"/>
      <c r="Q18"/>
      <c r="R18"/>
      <c r="S18"/>
      <c r="T18"/>
      <c r="U18"/>
      <c r="V18"/>
      <c r="W18"/>
      <c r="X18"/>
      <c r="Y18"/>
      <c r="Z18"/>
      <c r="AA18"/>
      <c r="AB18"/>
      <c r="AC18"/>
      <c r="AD18"/>
      <c r="AE18"/>
      <c r="AF18"/>
      <c r="AG18"/>
      <c r="AH18"/>
      <c r="AI18"/>
      <c r="AJ18"/>
      <c r="AK18"/>
    </row>
    <row r="19" spans="1:37" s="80" customFormat="1" x14ac:dyDescent="0.35">
      <c r="A19" s="80">
        <v>1035</v>
      </c>
      <c r="B19" s="80" t="s">
        <v>994</v>
      </c>
      <c r="C19" s="80">
        <v>1030</v>
      </c>
      <c r="D19" s="80" t="s">
        <v>906</v>
      </c>
      <c r="E19" s="80">
        <v>100</v>
      </c>
      <c r="F19" s="80" t="s">
        <v>171</v>
      </c>
      <c r="G19" s="80" t="s">
        <v>961</v>
      </c>
      <c r="H19" s="80">
        <v>16</v>
      </c>
      <c r="I19" s="80">
        <v>18</v>
      </c>
      <c r="K19" s="80">
        <v>2</v>
      </c>
      <c r="L19"/>
      <c r="M19" t="str">
        <f t="shared" si="0"/>
        <v>(1035, 'Hyper (Hemoglobin)', 1030, 'Hemoglobin', '100', 'Gender', '["Woman"]', 16, 18, NULL, 2, 'Raminder Ahlawat'),</v>
      </c>
      <c r="N19"/>
      <c r="O19" t="str">
        <f t="shared" si="1"/>
        <v>update TEST_RESULT set LBOUND = 16, UBOUND = 18 WHERE ID = 1035;</v>
      </c>
      <c r="P19"/>
      <c r="Q19"/>
      <c r="R19"/>
      <c r="S19"/>
      <c r="T19"/>
      <c r="U19"/>
      <c r="V19"/>
      <c r="W19"/>
      <c r="X19"/>
      <c r="Y19"/>
      <c r="Z19"/>
      <c r="AA19"/>
      <c r="AB19"/>
      <c r="AC19"/>
      <c r="AD19"/>
      <c r="AE19"/>
      <c r="AF19"/>
      <c r="AG19"/>
      <c r="AH19"/>
      <c r="AI19"/>
      <c r="AJ19"/>
      <c r="AK19"/>
    </row>
    <row r="20" spans="1:37" s="80" customFormat="1" x14ac:dyDescent="0.35">
      <c r="A20" s="80">
        <v>1006</v>
      </c>
      <c r="B20" s="80" t="s">
        <v>999</v>
      </c>
      <c r="C20" s="80">
        <v>1000</v>
      </c>
      <c r="D20" s="80" t="s">
        <v>903</v>
      </c>
      <c r="E20" s="80">
        <v>100</v>
      </c>
      <c r="F20" s="80" t="s">
        <v>171</v>
      </c>
      <c r="G20" s="80" t="s">
        <v>960</v>
      </c>
      <c r="I20" s="80">
        <v>3.5</v>
      </c>
      <c r="K20" s="80">
        <v>1</v>
      </c>
      <c r="L20"/>
      <c r="M20" t="str">
        <f t="shared" si="0"/>
        <v>(1006, 'Crisis Hypo (RBC)', 1000, 'Red Blood Cells (RBC)', '100', 'Gender', '["Man"]', NULL, 3.5, NULL, 1, 'Raminder Ahlawat'),</v>
      </c>
      <c r="N20"/>
      <c r="O20" t="str">
        <f t="shared" si="1"/>
        <v>update TEST_RESULT set LBOUND = NULL, UBOUND = 3.5 WHERE ID = 1006;</v>
      </c>
      <c r="P20"/>
      <c r="Q20"/>
      <c r="R20"/>
      <c r="S20"/>
      <c r="T20"/>
      <c r="U20"/>
      <c r="V20"/>
      <c r="W20"/>
      <c r="X20"/>
      <c r="Y20"/>
      <c r="Z20"/>
      <c r="AA20"/>
      <c r="AB20"/>
      <c r="AC20"/>
      <c r="AD20"/>
      <c r="AE20"/>
      <c r="AF20"/>
      <c r="AG20"/>
      <c r="AH20"/>
      <c r="AI20"/>
      <c r="AJ20"/>
      <c r="AK20"/>
    </row>
    <row r="21" spans="1:37" s="80" customFormat="1" x14ac:dyDescent="0.35">
      <c r="A21" s="80">
        <v>1007</v>
      </c>
      <c r="B21" s="80" t="s">
        <v>999</v>
      </c>
      <c r="C21" s="80">
        <v>1000</v>
      </c>
      <c r="D21" s="80" t="s">
        <v>903</v>
      </c>
      <c r="E21" s="80">
        <v>100</v>
      </c>
      <c r="F21" s="80" t="s">
        <v>171</v>
      </c>
      <c r="G21" s="80" t="s">
        <v>961</v>
      </c>
      <c r="I21" s="80">
        <v>3</v>
      </c>
      <c r="K21" s="80">
        <v>1</v>
      </c>
      <c r="L21"/>
      <c r="M21" t="str">
        <f t="shared" si="0"/>
        <v>(1007, 'Crisis Hypo (RBC)', 1000, 'Red Blood Cells (RBC)', '100', 'Gender', '["Woman"]', NULL, 3, NULL, 1, 'Raminder Ahlawat'),</v>
      </c>
      <c r="N21"/>
      <c r="O21" t="str">
        <f t="shared" si="1"/>
        <v>update TEST_RESULT set LBOUND = NULL, UBOUND = 3 WHERE ID = 1007;</v>
      </c>
      <c r="P21"/>
      <c r="Q21"/>
      <c r="R21"/>
      <c r="S21"/>
      <c r="T21"/>
      <c r="U21"/>
      <c r="V21"/>
      <c r="W21"/>
      <c r="X21"/>
      <c r="Y21"/>
      <c r="Z21"/>
      <c r="AA21"/>
      <c r="AB21"/>
      <c r="AC21"/>
      <c r="AD21"/>
      <c r="AE21"/>
      <c r="AF21"/>
      <c r="AG21"/>
      <c r="AH21"/>
      <c r="AI21"/>
      <c r="AJ21"/>
      <c r="AK21"/>
    </row>
    <row r="22" spans="1:37" s="80" customFormat="1" x14ac:dyDescent="0.35">
      <c r="A22" s="80">
        <v>1013</v>
      </c>
      <c r="B22" s="80" t="s">
        <v>1000</v>
      </c>
      <c r="C22" s="80">
        <v>1010</v>
      </c>
      <c r="D22" s="80" t="s">
        <v>904</v>
      </c>
      <c r="I22" s="80">
        <v>3</v>
      </c>
      <c r="K22" s="80">
        <v>1</v>
      </c>
      <c r="L22"/>
      <c r="M22" t="str">
        <f t="shared" si="0"/>
        <v>(1013, 'Crisis Hypo (WBC)', 1010, 'White Blood Cells (WBC)', '', '', '', NULL, 3, NULL, 1, 'Raminder Ahlawat'),</v>
      </c>
      <c r="N22"/>
      <c r="O22" t="str">
        <f t="shared" si="1"/>
        <v>update TEST_RESULT set LBOUND = NULL, UBOUND = 3 WHERE ID = 1013;</v>
      </c>
      <c r="P22"/>
      <c r="Q22"/>
      <c r="R22"/>
      <c r="S22"/>
      <c r="T22"/>
      <c r="U22"/>
      <c r="V22"/>
      <c r="W22"/>
      <c r="X22"/>
      <c r="Y22"/>
      <c r="Z22"/>
      <c r="AA22"/>
      <c r="AB22"/>
      <c r="AC22"/>
      <c r="AD22"/>
      <c r="AE22"/>
      <c r="AF22"/>
      <c r="AG22"/>
      <c r="AH22"/>
      <c r="AI22"/>
      <c r="AJ22"/>
      <c r="AK22"/>
    </row>
    <row r="23" spans="1:37" s="80" customFormat="1" x14ac:dyDescent="0.35">
      <c r="A23" s="80">
        <v>1023</v>
      </c>
      <c r="B23" s="80" t="s">
        <v>1001</v>
      </c>
      <c r="C23" s="80">
        <v>1020</v>
      </c>
      <c r="D23" s="80" t="s">
        <v>905</v>
      </c>
      <c r="I23" s="80">
        <v>100</v>
      </c>
      <c r="K23" s="80">
        <v>1</v>
      </c>
      <c r="L23"/>
      <c r="M23" t="str">
        <f t="shared" si="0"/>
        <v>(1023, 'Crisis Hypo (Platelets)', 1020, 'Platelets', '', '', '', NULL, 100, NULL, 1, 'Raminder Ahlawat'),</v>
      </c>
      <c r="N23"/>
      <c r="O23" t="str">
        <f t="shared" si="1"/>
        <v>update TEST_RESULT set LBOUND = NULL, UBOUND = 100 WHERE ID = 1023;</v>
      </c>
      <c r="P23"/>
      <c r="Q23"/>
      <c r="R23"/>
      <c r="S23"/>
      <c r="T23"/>
      <c r="U23"/>
      <c r="V23"/>
      <c r="W23"/>
      <c r="X23"/>
      <c r="Y23"/>
      <c r="Z23"/>
      <c r="AA23"/>
      <c r="AB23"/>
      <c r="AC23"/>
      <c r="AD23"/>
      <c r="AE23"/>
      <c r="AF23"/>
      <c r="AG23"/>
      <c r="AH23"/>
      <c r="AI23"/>
      <c r="AJ23"/>
      <c r="AK23"/>
    </row>
    <row r="24" spans="1:37" s="80" customFormat="1" x14ac:dyDescent="0.35">
      <c r="A24" s="80">
        <v>1036</v>
      </c>
      <c r="B24" s="80" t="s">
        <v>1002</v>
      </c>
      <c r="C24" s="80">
        <v>1030</v>
      </c>
      <c r="D24" s="80" t="s">
        <v>906</v>
      </c>
      <c r="E24" s="80">
        <v>100</v>
      </c>
      <c r="F24" s="80" t="s">
        <v>171</v>
      </c>
      <c r="G24" s="80" t="s">
        <v>960</v>
      </c>
      <c r="I24" s="80">
        <v>10</v>
      </c>
      <c r="K24" s="80">
        <v>1</v>
      </c>
      <c r="L24"/>
      <c r="M24" t="str">
        <f t="shared" si="0"/>
        <v>(1036, 'Crisis Hypo (Hemoglobin)', 1030, 'Hemoglobin', '100', 'Gender', '["Man"]', NULL, 10, NULL, 1, 'Raminder Ahlawat'),</v>
      </c>
      <c r="N24"/>
      <c r="O24" t="str">
        <f t="shared" si="1"/>
        <v>update TEST_RESULT set LBOUND = NULL, UBOUND = 10 WHERE ID = 1036;</v>
      </c>
      <c r="P24"/>
      <c r="Q24"/>
      <c r="R24"/>
      <c r="S24"/>
      <c r="T24"/>
      <c r="U24"/>
      <c r="V24"/>
      <c r="W24"/>
      <c r="X24"/>
      <c r="Y24"/>
      <c r="Z24"/>
      <c r="AA24"/>
      <c r="AB24"/>
      <c r="AC24"/>
      <c r="AD24"/>
      <c r="AE24"/>
      <c r="AF24"/>
      <c r="AG24"/>
      <c r="AH24"/>
      <c r="AI24"/>
      <c r="AJ24"/>
      <c r="AK24"/>
    </row>
    <row r="25" spans="1:37" s="80" customFormat="1" x14ac:dyDescent="0.35">
      <c r="A25" s="80">
        <v>1037</v>
      </c>
      <c r="B25" s="80" t="s">
        <v>1002</v>
      </c>
      <c r="C25" s="80">
        <v>1030</v>
      </c>
      <c r="D25" s="80" t="s">
        <v>906</v>
      </c>
      <c r="E25" s="80">
        <v>100</v>
      </c>
      <c r="F25" s="80" t="s">
        <v>171</v>
      </c>
      <c r="G25" s="80" t="s">
        <v>961</v>
      </c>
      <c r="I25" s="80">
        <v>9</v>
      </c>
      <c r="K25" s="80">
        <v>1</v>
      </c>
      <c r="L25"/>
      <c r="M25" t="str">
        <f t="shared" si="0"/>
        <v>(1037, 'Crisis Hypo (Hemoglobin)', 1030, 'Hemoglobin', '100', 'Gender', '["Woman"]', NULL, 9, NULL, 1, 'Raminder Ahlawat'),</v>
      </c>
      <c r="N25"/>
      <c r="O25" t="str">
        <f t="shared" si="1"/>
        <v>update TEST_RESULT set LBOUND = NULL, UBOUND = 9 WHERE ID = 1037;</v>
      </c>
      <c r="P25"/>
      <c r="Q25"/>
      <c r="R25"/>
      <c r="S25"/>
      <c r="T25"/>
      <c r="U25"/>
      <c r="V25"/>
      <c r="W25"/>
      <c r="X25"/>
      <c r="Y25"/>
      <c r="Z25"/>
      <c r="AA25"/>
      <c r="AB25"/>
      <c r="AC25"/>
      <c r="AD25"/>
      <c r="AE25"/>
      <c r="AF25"/>
      <c r="AG25"/>
      <c r="AH25"/>
      <c r="AI25"/>
      <c r="AJ25"/>
      <c r="AK25"/>
    </row>
    <row r="26" spans="1:37" s="80" customFormat="1" x14ac:dyDescent="0.35">
      <c r="A26" s="80">
        <v>1008</v>
      </c>
      <c r="B26" s="80" t="s">
        <v>995</v>
      </c>
      <c r="C26" s="80">
        <v>1000</v>
      </c>
      <c r="D26" s="80" t="s">
        <v>903</v>
      </c>
      <c r="E26" s="80">
        <v>100</v>
      </c>
      <c r="F26" s="80" t="s">
        <v>171</v>
      </c>
      <c r="G26" s="80" t="s">
        <v>960</v>
      </c>
      <c r="H26" s="80">
        <v>8</v>
      </c>
      <c r="K26" s="80">
        <v>1</v>
      </c>
      <c r="L26"/>
      <c r="M26" t="str">
        <f t="shared" si="0"/>
        <v>(1008, 'Crisis Hyper (RBC)', 1000, 'Red Blood Cells (RBC)', '100', 'Gender', '["Man"]', 8, NULL, NULL, 1, 'Raminder Ahlawat'),</v>
      </c>
      <c r="N26"/>
      <c r="O26" t="str">
        <f t="shared" si="1"/>
        <v>update TEST_RESULT set LBOUND = 8, UBOUND = NULL WHERE ID = 1008;</v>
      </c>
      <c r="P26"/>
      <c r="Q26"/>
      <c r="R26"/>
      <c r="S26"/>
      <c r="T26"/>
      <c r="U26"/>
      <c r="V26"/>
      <c r="W26"/>
      <c r="X26"/>
      <c r="Y26"/>
      <c r="Z26"/>
      <c r="AA26"/>
      <c r="AB26"/>
      <c r="AC26"/>
      <c r="AD26"/>
      <c r="AE26"/>
      <c r="AF26"/>
      <c r="AG26"/>
      <c r="AH26"/>
      <c r="AI26"/>
      <c r="AJ26"/>
      <c r="AK26"/>
    </row>
    <row r="27" spans="1:37" s="80" customFormat="1" x14ac:dyDescent="0.35">
      <c r="A27" s="80">
        <v>1009</v>
      </c>
      <c r="B27" s="80" t="s">
        <v>995</v>
      </c>
      <c r="C27" s="80">
        <v>1000</v>
      </c>
      <c r="D27" s="80" t="s">
        <v>903</v>
      </c>
      <c r="E27" s="80">
        <v>100</v>
      </c>
      <c r="F27" s="80" t="s">
        <v>171</v>
      </c>
      <c r="G27" s="80" t="s">
        <v>961</v>
      </c>
      <c r="H27" s="80">
        <v>7</v>
      </c>
      <c r="K27" s="80">
        <v>1</v>
      </c>
      <c r="L27"/>
      <c r="M27" t="str">
        <f t="shared" si="0"/>
        <v>(1009, 'Crisis Hyper (RBC)', 1000, 'Red Blood Cells (RBC)', '100', 'Gender', '["Woman"]', 7, NULL, NULL, 1, 'Raminder Ahlawat'),</v>
      </c>
      <c r="N27"/>
      <c r="O27" t="str">
        <f t="shared" si="1"/>
        <v>update TEST_RESULT set LBOUND = 7, UBOUND = NULL WHERE ID = 1009;</v>
      </c>
      <c r="P27"/>
      <c r="Q27"/>
      <c r="R27"/>
      <c r="S27"/>
      <c r="T27"/>
      <c r="U27"/>
      <c r="V27"/>
      <c r="W27"/>
      <c r="X27"/>
      <c r="Y27"/>
      <c r="Z27"/>
      <c r="AA27"/>
      <c r="AB27"/>
      <c r="AC27"/>
      <c r="AD27"/>
      <c r="AE27"/>
      <c r="AF27"/>
      <c r="AG27"/>
      <c r="AH27"/>
      <c r="AI27"/>
      <c r="AJ27"/>
      <c r="AK27"/>
    </row>
    <row r="28" spans="1:37" s="80" customFormat="1" x14ac:dyDescent="0.35">
      <c r="A28" s="80">
        <v>1014</v>
      </c>
      <c r="B28" s="80" t="s">
        <v>996</v>
      </c>
      <c r="C28" s="80">
        <v>1010</v>
      </c>
      <c r="D28" s="80" t="s">
        <v>904</v>
      </c>
      <c r="H28" s="80">
        <v>12</v>
      </c>
      <c r="K28" s="80">
        <v>1</v>
      </c>
      <c r="L28"/>
      <c r="M28" t="str">
        <f t="shared" si="0"/>
        <v>(1014, 'Crisis Hyper (WBC)', 1010, 'White Blood Cells (WBC)', '', '', '', 12, NULL, NULL, 1, 'Raminder Ahlawat'),</v>
      </c>
      <c r="N28"/>
      <c r="O28" t="str">
        <f t="shared" si="1"/>
        <v>update TEST_RESULT set LBOUND = 12, UBOUND = NULL WHERE ID = 1014;</v>
      </c>
      <c r="P28"/>
      <c r="Q28"/>
      <c r="R28"/>
      <c r="S28"/>
      <c r="T28"/>
      <c r="U28"/>
      <c r="V28"/>
      <c r="W28"/>
      <c r="X28"/>
      <c r="Y28"/>
      <c r="Z28"/>
      <c r="AA28"/>
      <c r="AB28"/>
      <c r="AC28"/>
      <c r="AD28"/>
      <c r="AE28"/>
      <c r="AF28"/>
      <c r="AG28"/>
      <c r="AH28"/>
      <c r="AI28"/>
      <c r="AJ28"/>
      <c r="AK28"/>
    </row>
    <row r="29" spans="1:37" s="80" customFormat="1" x14ac:dyDescent="0.35">
      <c r="A29" s="80">
        <v>1024</v>
      </c>
      <c r="B29" s="80" t="s">
        <v>997</v>
      </c>
      <c r="C29" s="80">
        <v>1020</v>
      </c>
      <c r="D29" s="80" t="s">
        <v>905</v>
      </c>
      <c r="H29" s="80">
        <v>500</v>
      </c>
      <c r="K29" s="80">
        <v>1</v>
      </c>
      <c r="L29"/>
      <c r="M29" t="str">
        <f t="shared" si="0"/>
        <v>(1024, 'Crisis Hyper (Platelets)', 1020, 'Platelets', '', '', '', 500, NULL, NULL, 1, 'Raminder Ahlawat'),</v>
      </c>
      <c r="N29"/>
      <c r="O29" t="str">
        <f t="shared" si="1"/>
        <v>update TEST_RESULT set LBOUND = 500, UBOUND = NULL WHERE ID = 1024;</v>
      </c>
      <c r="P29"/>
      <c r="Q29"/>
      <c r="R29"/>
      <c r="S29"/>
      <c r="T29"/>
      <c r="U29"/>
      <c r="V29"/>
      <c r="W29"/>
      <c r="X29"/>
      <c r="Y29"/>
      <c r="Z29"/>
      <c r="AA29"/>
      <c r="AB29"/>
      <c r="AC29"/>
      <c r="AD29"/>
      <c r="AE29"/>
      <c r="AF29"/>
      <c r="AG29"/>
      <c r="AH29"/>
      <c r="AI29"/>
      <c r="AJ29"/>
      <c r="AK29"/>
    </row>
    <row r="30" spans="1:37" s="80" customFormat="1" x14ac:dyDescent="0.35">
      <c r="A30" s="80">
        <v>1038</v>
      </c>
      <c r="B30" s="80" t="s">
        <v>998</v>
      </c>
      <c r="C30" s="80">
        <v>1030</v>
      </c>
      <c r="D30" s="80" t="s">
        <v>906</v>
      </c>
      <c r="E30" s="80">
        <v>100</v>
      </c>
      <c r="F30" s="80" t="s">
        <v>171</v>
      </c>
      <c r="G30" s="80" t="s">
        <v>960</v>
      </c>
      <c r="H30" s="80">
        <v>19</v>
      </c>
      <c r="K30" s="80">
        <v>1</v>
      </c>
      <c r="L30"/>
      <c r="M30" t="str">
        <f t="shared" si="0"/>
        <v>(1038, 'Crisis Hyper (Hemoglobin)', 1030, 'Hemoglobin', '100', 'Gender', '["Man"]', 19, NULL, NULL, 1, 'Raminder Ahlawat'),</v>
      </c>
      <c r="N30"/>
      <c r="O30" t="str">
        <f t="shared" si="1"/>
        <v>update TEST_RESULT set LBOUND = 19, UBOUND = NULL WHERE ID = 1038;</v>
      </c>
      <c r="P30"/>
      <c r="Q30"/>
      <c r="R30"/>
      <c r="S30"/>
      <c r="T30"/>
      <c r="U30"/>
      <c r="V30"/>
      <c r="W30"/>
      <c r="X30"/>
      <c r="Y30"/>
      <c r="Z30"/>
      <c r="AA30"/>
      <c r="AB30"/>
      <c r="AC30"/>
      <c r="AD30"/>
      <c r="AE30"/>
      <c r="AF30"/>
      <c r="AG30"/>
      <c r="AH30"/>
      <c r="AI30"/>
      <c r="AJ30"/>
      <c r="AK30"/>
    </row>
    <row r="31" spans="1:37" s="80" customFormat="1" x14ac:dyDescent="0.35">
      <c r="A31" s="80">
        <v>1039</v>
      </c>
      <c r="B31" s="80" t="s">
        <v>998</v>
      </c>
      <c r="C31" s="80">
        <v>1030</v>
      </c>
      <c r="D31" s="80" t="s">
        <v>906</v>
      </c>
      <c r="E31" s="80">
        <v>100</v>
      </c>
      <c r="F31" s="80" t="s">
        <v>171</v>
      </c>
      <c r="G31" s="80" t="s">
        <v>961</v>
      </c>
      <c r="H31" s="80">
        <v>18</v>
      </c>
      <c r="K31" s="80">
        <v>1</v>
      </c>
      <c r="L31"/>
      <c r="M31" t="str">
        <f t="shared" si="0"/>
        <v>(1039, 'Crisis Hyper (Hemoglobin)', 1030, 'Hemoglobin', '100', 'Gender', '["Woman"]', 18, NULL, NULL, 1, 'Raminder Ahlawat'),</v>
      </c>
      <c r="N31"/>
      <c r="O31" t="str">
        <f t="shared" si="1"/>
        <v>update TEST_RESULT set LBOUND = 18, UBOUND = NULL WHERE ID = 1039;</v>
      </c>
      <c r="P31"/>
      <c r="Q31"/>
      <c r="R31"/>
      <c r="S31"/>
      <c r="T31"/>
      <c r="U31"/>
      <c r="V31"/>
      <c r="W31"/>
      <c r="X31"/>
      <c r="Y31"/>
      <c r="Z31"/>
      <c r="AA31"/>
      <c r="AB31"/>
      <c r="AC31"/>
      <c r="AD31"/>
      <c r="AE31"/>
      <c r="AF31"/>
      <c r="AG31"/>
      <c r="AH31"/>
      <c r="AI31"/>
      <c r="AJ31"/>
      <c r="AK31"/>
    </row>
    <row r="32" spans="1:37" s="78" customFormat="1" x14ac:dyDescent="0.35">
      <c r="A32" s="78">
        <v>2000</v>
      </c>
      <c r="B32" s="78" t="s">
        <v>957</v>
      </c>
      <c r="C32" s="78">
        <v>2000</v>
      </c>
      <c r="D32" s="78" t="s">
        <v>921</v>
      </c>
      <c r="E32" s="78" t="s">
        <v>962</v>
      </c>
      <c r="F32" s="78" t="s">
        <v>878</v>
      </c>
      <c r="G32" s="79" t="s">
        <v>963</v>
      </c>
      <c r="I32" s="78">
        <v>10</v>
      </c>
      <c r="K32" s="78">
        <v>3</v>
      </c>
      <c r="L32"/>
      <c r="M32" t="str">
        <f t="shared" si="0"/>
        <v>(2000, 'Normal (ESR)', 2000, 'ESR', '100, 200', 'Gender, Age', '["Man", "20 years under"]', NULL, 10, NULL, 3, 'Raminder Ahlawat'),</v>
      </c>
      <c r="N32"/>
      <c r="O32" t="str">
        <f t="shared" si="1"/>
        <v>update TEST_RESULT set LBOUND = NULL, UBOUND = 10 WHERE ID = 2000;</v>
      </c>
      <c r="P32"/>
      <c r="Q32"/>
      <c r="R32"/>
      <c r="S32"/>
      <c r="T32"/>
      <c r="U32"/>
      <c r="V32"/>
      <c r="W32"/>
      <c r="X32"/>
      <c r="Y32"/>
      <c r="Z32"/>
      <c r="AA32"/>
      <c r="AB32"/>
      <c r="AC32"/>
      <c r="AD32"/>
      <c r="AE32"/>
      <c r="AF32"/>
      <c r="AG32"/>
      <c r="AH32"/>
      <c r="AI32"/>
      <c r="AJ32"/>
      <c r="AK32"/>
    </row>
    <row r="33" spans="1:37" s="78" customFormat="1" x14ac:dyDescent="0.35">
      <c r="A33" s="78">
        <v>2001</v>
      </c>
      <c r="B33" s="78" t="s">
        <v>957</v>
      </c>
      <c r="C33" s="78">
        <v>2000</v>
      </c>
      <c r="D33" s="78" t="s">
        <v>921</v>
      </c>
      <c r="E33" s="78" t="s">
        <v>962</v>
      </c>
      <c r="F33" s="78" t="s">
        <v>878</v>
      </c>
      <c r="G33" s="79" t="s">
        <v>965</v>
      </c>
      <c r="I33" s="78">
        <v>15</v>
      </c>
      <c r="K33" s="78">
        <v>3</v>
      </c>
      <c r="L33"/>
      <c r="M33" t="str">
        <f t="shared" si="0"/>
        <v>(2001, 'Normal (ESR)', 2000, 'ESR', '100, 200', 'Gender, Age', '["Man", "20 - 29 years,30 - 39 years,40 - 49 years"]', NULL, 15, NULL, 3, 'Raminder Ahlawat'),</v>
      </c>
      <c r="N33"/>
      <c r="O33" t="str">
        <f t="shared" si="1"/>
        <v>update TEST_RESULT set LBOUND = NULL, UBOUND = 15 WHERE ID = 2001;</v>
      </c>
      <c r="P33"/>
      <c r="Q33"/>
      <c r="R33"/>
      <c r="S33"/>
      <c r="T33"/>
      <c r="U33"/>
      <c r="V33"/>
      <c r="W33"/>
      <c r="X33"/>
      <c r="Y33"/>
      <c r="Z33"/>
      <c r="AA33"/>
      <c r="AB33"/>
      <c r="AC33"/>
      <c r="AD33"/>
      <c r="AE33"/>
      <c r="AF33"/>
      <c r="AG33"/>
      <c r="AH33"/>
      <c r="AI33"/>
      <c r="AJ33"/>
      <c r="AK33"/>
    </row>
    <row r="34" spans="1:37" s="78" customFormat="1" x14ac:dyDescent="0.35">
      <c r="A34" s="78">
        <v>2002</v>
      </c>
      <c r="B34" s="78" t="s">
        <v>957</v>
      </c>
      <c r="C34" s="78">
        <v>2000</v>
      </c>
      <c r="D34" s="78" t="s">
        <v>921</v>
      </c>
      <c r="E34" s="78" t="s">
        <v>962</v>
      </c>
      <c r="F34" s="78" t="s">
        <v>878</v>
      </c>
      <c r="G34" s="79" t="s">
        <v>966</v>
      </c>
      <c r="I34" s="78">
        <v>20</v>
      </c>
      <c r="K34" s="78">
        <v>3</v>
      </c>
      <c r="L34"/>
      <c r="M34" t="str">
        <f t="shared" si="0"/>
        <v>(2002, 'Normal (ESR)', 2000, 'ESR', '100, 200', 'Gender, Age', '["Man", "50 - 59 years,60 - 69 years,70 - 79 years,80 years and over"]', NULL, 20, NULL, 3, 'Raminder Ahlawat'),</v>
      </c>
      <c r="N34"/>
      <c r="O34" t="str">
        <f t="shared" si="1"/>
        <v>update TEST_RESULT set LBOUND = NULL, UBOUND = 20 WHERE ID = 2002;</v>
      </c>
      <c r="P34"/>
      <c r="Q34"/>
      <c r="R34"/>
      <c r="S34"/>
      <c r="T34"/>
      <c r="U34"/>
      <c r="V34"/>
      <c r="W34"/>
      <c r="X34"/>
      <c r="Y34"/>
      <c r="Z34"/>
      <c r="AA34"/>
      <c r="AB34"/>
      <c r="AC34"/>
      <c r="AD34"/>
      <c r="AE34"/>
      <c r="AF34"/>
      <c r="AG34"/>
      <c r="AH34"/>
      <c r="AI34"/>
      <c r="AJ34"/>
      <c r="AK34"/>
    </row>
    <row r="35" spans="1:37" s="78" customFormat="1" x14ac:dyDescent="0.35">
      <c r="A35" s="78">
        <v>2003</v>
      </c>
      <c r="B35" s="78" t="s">
        <v>957</v>
      </c>
      <c r="C35" s="78">
        <v>2000</v>
      </c>
      <c r="D35" s="78" t="s">
        <v>921</v>
      </c>
      <c r="E35" s="78" t="s">
        <v>962</v>
      </c>
      <c r="F35" s="78" t="s">
        <v>878</v>
      </c>
      <c r="G35" s="79" t="s">
        <v>964</v>
      </c>
      <c r="I35" s="78">
        <v>10</v>
      </c>
      <c r="K35" s="78">
        <v>3</v>
      </c>
      <c r="L35"/>
      <c r="M35" t="str">
        <f t="shared" si="0"/>
        <v>(2003, 'Normal (ESR)', 2000, 'ESR', '100, 200', 'Gender, Age', '["Woman", "20 years under"]', NULL, 10, NULL, 3, 'Raminder Ahlawat'),</v>
      </c>
      <c r="N35"/>
      <c r="O35" t="str">
        <f t="shared" si="1"/>
        <v>update TEST_RESULT set LBOUND = NULL, UBOUND = 10 WHERE ID = 2003;</v>
      </c>
      <c r="P35"/>
      <c r="Q35"/>
      <c r="R35"/>
      <c r="S35"/>
      <c r="T35"/>
      <c r="U35"/>
      <c r="V35"/>
      <c r="W35"/>
      <c r="X35"/>
      <c r="Y35"/>
      <c r="Z35"/>
      <c r="AA35"/>
      <c r="AB35"/>
      <c r="AC35"/>
      <c r="AD35"/>
      <c r="AE35"/>
      <c r="AF35"/>
      <c r="AG35"/>
      <c r="AH35"/>
      <c r="AI35"/>
      <c r="AJ35"/>
      <c r="AK35"/>
    </row>
    <row r="36" spans="1:37" s="78" customFormat="1" x14ac:dyDescent="0.35">
      <c r="A36" s="78">
        <v>2004</v>
      </c>
      <c r="B36" s="78" t="s">
        <v>957</v>
      </c>
      <c r="C36" s="78">
        <v>2000</v>
      </c>
      <c r="D36" s="78" t="s">
        <v>921</v>
      </c>
      <c r="E36" s="78" t="s">
        <v>962</v>
      </c>
      <c r="F36" s="78" t="s">
        <v>878</v>
      </c>
      <c r="G36" s="79" t="s">
        <v>967</v>
      </c>
      <c r="I36" s="78">
        <v>20</v>
      </c>
      <c r="K36" s="78">
        <v>3</v>
      </c>
      <c r="L36"/>
      <c r="M36" t="str">
        <f t="shared" si="0"/>
        <v>(2004, 'Normal (ESR)', 2000, 'ESR', '100, 200', 'Gender, Age', '["Woman", "20 - 29 years,30 - 39 years,40 - 49 years"]', NULL, 20, NULL, 3, 'Raminder Ahlawat'),</v>
      </c>
      <c r="N36"/>
      <c r="O36" t="str">
        <f t="shared" si="1"/>
        <v>update TEST_RESULT set LBOUND = NULL, UBOUND = 20 WHERE ID = 2004;</v>
      </c>
      <c r="P36"/>
      <c r="Q36"/>
      <c r="R36"/>
      <c r="S36"/>
      <c r="T36"/>
      <c r="U36"/>
      <c r="V36"/>
      <c r="W36"/>
      <c r="X36"/>
      <c r="Y36"/>
      <c r="Z36"/>
      <c r="AA36"/>
      <c r="AB36"/>
      <c r="AC36"/>
      <c r="AD36"/>
      <c r="AE36"/>
      <c r="AF36"/>
      <c r="AG36"/>
      <c r="AH36"/>
      <c r="AI36"/>
      <c r="AJ36"/>
      <c r="AK36"/>
    </row>
    <row r="37" spans="1:37" s="78" customFormat="1" x14ac:dyDescent="0.35">
      <c r="A37" s="78">
        <v>2005</v>
      </c>
      <c r="B37" s="78" t="s">
        <v>957</v>
      </c>
      <c r="C37" s="78">
        <v>2000</v>
      </c>
      <c r="D37" s="78" t="s">
        <v>921</v>
      </c>
      <c r="E37" s="78" t="s">
        <v>962</v>
      </c>
      <c r="F37" s="78" t="s">
        <v>878</v>
      </c>
      <c r="G37" s="79" t="s">
        <v>968</v>
      </c>
      <c r="I37" s="78">
        <v>30</v>
      </c>
      <c r="K37" s="78">
        <v>3</v>
      </c>
      <c r="L37"/>
      <c r="M37" t="str">
        <f t="shared" si="0"/>
        <v>(2005, 'Normal (ESR)', 2000, 'ESR', '100, 200', 'Gender, Age', '["Woman", "50 - 59 years,60 - 69 years,70 - 79 years,80 years and over"]', NULL, 30, NULL, 3, 'Raminder Ahlawat'),</v>
      </c>
      <c r="N37"/>
      <c r="O37" t="str">
        <f t="shared" si="1"/>
        <v>update TEST_RESULT set LBOUND = NULL, UBOUND = 30 WHERE ID = 2005;</v>
      </c>
      <c r="P37"/>
      <c r="Q37"/>
      <c r="R37"/>
      <c r="S37"/>
      <c r="T37"/>
      <c r="U37"/>
      <c r="V37"/>
      <c r="W37"/>
      <c r="X37"/>
      <c r="Y37"/>
      <c r="Z37"/>
      <c r="AA37"/>
      <c r="AB37"/>
      <c r="AC37"/>
      <c r="AD37"/>
      <c r="AE37"/>
      <c r="AF37"/>
      <c r="AG37"/>
      <c r="AH37"/>
      <c r="AI37"/>
      <c r="AJ37"/>
      <c r="AK37"/>
    </row>
    <row r="38" spans="1:37" s="78" customFormat="1" x14ac:dyDescent="0.35">
      <c r="A38" s="78">
        <v>2006</v>
      </c>
      <c r="B38" s="78" t="s">
        <v>1003</v>
      </c>
      <c r="C38" s="78">
        <v>2000</v>
      </c>
      <c r="D38" s="78" t="s">
        <v>921</v>
      </c>
      <c r="E38" s="78" t="s">
        <v>962</v>
      </c>
      <c r="F38" s="78" t="s">
        <v>878</v>
      </c>
      <c r="G38" s="79" t="s">
        <v>963</v>
      </c>
      <c r="H38" s="78">
        <v>10</v>
      </c>
      <c r="I38" s="78">
        <v>20</v>
      </c>
      <c r="K38" s="78">
        <v>2</v>
      </c>
      <c r="L38"/>
      <c r="M38" t="str">
        <f t="shared" si="0"/>
        <v>(2006, 'Elevated (ESR)', 2000, 'ESR', '100, 200', 'Gender, Age', '["Man", "20 years under"]', 10, 20, NULL, 2, 'Raminder Ahlawat'),</v>
      </c>
      <c r="N38"/>
      <c r="O38" t="str">
        <f t="shared" si="1"/>
        <v>update TEST_RESULT set LBOUND = 10, UBOUND = 20 WHERE ID = 2006;</v>
      </c>
      <c r="P38"/>
      <c r="Q38"/>
      <c r="R38"/>
      <c r="S38"/>
      <c r="T38"/>
      <c r="U38"/>
      <c r="V38"/>
      <c r="W38"/>
      <c r="X38"/>
      <c r="Y38"/>
      <c r="Z38"/>
      <c r="AA38"/>
      <c r="AB38"/>
      <c r="AC38"/>
      <c r="AD38"/>
      <c r="AE38"/>
      <c r="AF38"/>
      <c r="AG38"/>
      <c r="AH38"/>
      <c r="AI38"/>
      <c r="AJ38"/>
      <c r="AK38"/>
    </row>
    <row r="39" spans="1:37" s="78" customFormat="1" x14ac:dyDescent="0.35">
      <c r="A39" s="78">
        <v>2007</v>
      </c>
      <c r="B39" s="78" t="s">
        <v>1003</v>
      </c>
      <c r="C39" s="78">
        <v>2000</v>
      </c>
      <c r="D39" s="78" t="s">
        <v>921</v>
      </c>
      <c r="E39" s="78" t="s">
        <v>962</v>
      </c>
      <c r="F39" s="78" t="s">
        <v>878</v>
      </c>
      <c r="G39" s="79" t="s">
        <v>965</v>
      </c>
      <c r="H39" s="78">
        <v>15</v>
      </c>
      <c r="I39" s="78">
        <v>20</v>
      </c>
      <c r="K39" s="78">
        <v>2</v>
      </c>
      <c r="L39"/>
      <c r="M39" t="str">
        <f t="shared" si="0"/>
        <v>(2007, 'Elevated (ESR)', 2000, 'ESR', '100, 200', 'Gender, Age', '["Man", "20 - 29 years,30 - 39 years,40 - 49 years"]', 15, 20, NULL, 2, 'Raminder Ahlawat'),</v>
      </c>
      <c r="N39"/>
      <c r="O39" t="str">
        <f t="shared" si="1"/>
        <v>update TEST_RESULT set LBOUND = 15, UBOUND = 20 WHERE ID = 2007;</v>
      </c>
      <c r="P39"/>
      <c r="Q39"/>
      <c r="R39"/>
      <c r="S39"/>
      <c r="T39"/>
      <c r="U39"/>
      <c r="V39"/>
      <c r="W39"/>
      <c r="X39"/>
      <c r="Y39"/>
      <c r="Z39"/>
      <c r="AA39"/>
      <c r="AB39"/>
      <c r="AC39"/>
      <c r="AD39"/>
      <c r="AE39"/>
      <c r="AF39"/>
      <c r="AG39"/>
      <c r="AH39"/>
      <c r="AI39"/>
      <c r="AJ39"/>
      <c r="AK39"/>
    </row>
    <row r="40" spans="1:37" s="78" customFormat="1" x14ac:dyDescent="0.35">
      <c r="A40" s="78">
        <v>2008</v>
      </c>
      <c r="B40" s="78" t="s">
        <v>1003</v>
      </c>
      <c r="C40" s="78">
        <v>2000</v>
      </c>
      <c r="D40" s="78" t="s">
        <v>921</v>
      </c>
      <c r="E40" s="78" t="s">
        <v>962</v>
      </c>
      <c r="F40" s="78" t="s">
        <v>878</v>
      </c>
      <c r="G40" s="79" t="s">
        <v>966</v>
      </c>
      <c r="H40" s="78">
        <v>20</v>
      </c>
      <c r="I40" s="78">
        <v>25</v>
      </c>
      <c r="K40" s="78">
        <v>2</v>
      </c>
      <c r="L40"/>
      <c r="M40" t="str">
        <f t="shared" si="0"/>
        <v>(2008, 'Elevated (ESR)', 2000, 'ESR', '100, 200', 'Gender, Age', '["Man", "50 - 59 years,60 - 69 years,70 - 79 years,80 years and over"]', 20, 25, NULL, 2, 'Raminder Ahlawat'),</v>
      </c>
      <c r="N40"/>
      <c r="O40" t="str">
        <f t="shared" si="1"/>
        <v>update TEST_RESULT set LBOUND = 20, UBOUND = 25 WHERE ID = 2008;</v>
      </c>
      <c r="P40"/>
      <c r="Q40"/>
      <c r="R40"/>
      <c r="S40"/>
      <c r="T40"/>
      <c r="U40"/>
      <c r="V40"/>
      <c r="W40"/>
      <c r="X40"/>
      <c r="Y40"/>
      <c r="Z40"/>
      <c r="AA40"/>
      <c r="AB40"/>
      <c r="AC40"/>
      <c r="AD40"/>
      <c r="AE40"/>
      <c r="AF40"/>
      <c r="AG40"/>
      <c r="AH40"/>
      <c r="AI40"/>
      <c r="AJ40"/>
      <c r="AK40"/>
    </row>
    <row r="41" spans="1:37" s="78" customFormat="1" x14ac:dyDescent="0.35">
      <c r="A41" s="78">
        <v>2009</v>
      </c>
      <c r="B41" s="78" t="s">
        <v>1003</v>
      </c>
      <c r="C41" s="78">
        <v>2000</v>
      </c>
      <c r="D41" s="78" t="s">
        <v>921</v>
      </c>
      <c r="E41" s="78" t="s">
        <v>962</v>
      </c>
      <c r="F41" s="78" t="s">
        <v>878</v>
      </c>
      <c r="G41" s="79" t="s">
        <v>964</v>
      </c>
      <c r="H41" s="78">
        <v>10</v>
      </c>
      <c r="I41" s="78">
        <v>20</v>
      </c>
      <c r="K41" s="78">
        <v>2</v>
      </c>
      <c r="L41"/>
      <c r="M41" t="str">
        <f t="shared" si="0"/>
        <v>(2009, 'Elevated (ESR)', 2000, 'ESR', '100, 200', 'Gender, Age', '["Woman", "20 years under"]', 10, 20, NULL, 2, 'Raminder Ahlawat'),</v>
      </c>
      <c r="N41"/>
      <c r="O41" t="str">
        <f t="shared" si="1"/>
        <v>update TEST_RESULT set LBOUND = 10, UBOUND = 20 WHERE ID = 2009;</v>
      </c>
      <c r="P41"/>
      <c r="Q41"/>
      <c r="R41"/>
      <c r="S41"/>
      <c r="T41"/>
      <c r="U41"/>
      <c r="V41"/>
      <c r="W41"/>
      <c r="X41"/>
      <c r="Y41"/>
      <c r="Z41"/>
      <c r="AA41"/>
      <c r="AB41"/>
      <c r="AC41"/>
      <c r="AD41"/>
      <c r="AE41"/>
      <c r="AF41"/>
      <c r="AG41"/>
      <c r="AH41"/>
      <c r="AI41"/>
      <c r="AJ41"/>
      <c r="AK41"/>
    </row>
    <row r="42" spans="1:37" s="78" customFormat="1" x14ac:dyDescent="0.35">
      <c r="A42" s="78">
        <v>2010</v>
      </c>
      <c r="B42" s="78" t="s">
        <v>1003</v>
      </c>
      <c r="C42" s="78">
        <v>2000</v>
      </c>
      <c r="D42" s="78" t="s">
        <v>921</v>
      </c>
      <c r="E42" s="78" t="s">
        <v>962</v>
      </c>
      <c r="F42" s="78" t="s">
        <v>878</v>
      </c>
      <c r="G42" s="79" t="s">
        <v>967</v>
      </c>
      <c r="H42" s="78">
        <v>20</v>
      </c>
      <c r="I42" s="78">
        <v>30</v>
      </c>
      <c r="K42" s="78">
        <v>2</v>
      </c>
      <c r="L42"/>
      <c r="M42" t="str">
        <f t="shared" si="0"/>
        <v>(2010, 'Elevated (ESR)', 2000, 'ESR', '100, 200', 'Gender, Age', '["Woman", "20 - 29 years,30 - 39 years,40 - 49 years"]', 20, 30, NULL, 2, 'Raminder Ahlawat'),</v>
      </c>
      <c r="N42"/>
      <c r="O42" t="str">
        <f t="shared" si="1"/>
        <v>update TEST_RESULT set LBOUND = 20, UBOUND = 30 WHERE ID = 2010;</v>
      </c>
      <c r="P42"/>
      <c r="Q42"/>
      <c r="R42"/>
      <c r="S42"/>
      <c r="T42"/>
      <c r="U42"/>
      <c r="V42"/>
      <c r="W42"/>
      <c r="X42"/>
      <c r="Y42"/>
      <c r="Z42"/>
      <c r="AA42"/>
      <c r="AB42"/>
      <c r="AC42"/>
      <c r="AD42"/>
      <c r="AE42"/>
      <c r="AF42"/>
      <c r="AG42"/>
      <c r="AH42"/>
      <c r="AI42"/>
      <c r="AJ42"/>
      <c r="AK42"/>
    </row>
    <row r="43" spans="1:37" s="78" customFormat="1" x14ac:dyDescent="0.35">
      <c r="A43" s="78">
        <v>2011</v>
      </c>
      <c r="B43" s="78" t="s">
        <v>1003</v>
      </c>
      <c r="C43" s="78">
        <v>2000</v>
      </c>
      <c r="D43" s="78" t="s">
        <v>921</v>
      </c>
      <c r="E43" s="78" t="s">
        <v>962</v>
      </c>
      <c r="F43" s="78" t="s">
        <v>878</v>
      </c>
      <c r="G43" s="79" t="s">
        <v>968</v>
      </c>
      <c r="H43" s="78">
        <v>30</v>
      </c>
      <c r="I43" s="78">
        <v>40</v>
      </c>
      <c r="K43" s="78">
        <v>2</v>
      </c>
      <c r="L43"/>
      <c r="M43" t="str">
        <f t="shared" si="0"/>
        <v>(2011, 'Elevated (ESR)', 2000, 'ESR', '100, 200', 'Gender, Age', '["Woman", "50 - 59 years,60 - 69 years,70 - 79 years,80 years and over"]', 30, 40, NULL, 2, 'Raminder Ahlawat'),</v>
      </c>
      <c r="N43"/>
      <c r="O43" t="str">
        <f t="shared" si="1"/>
        <v>update TEST_RESULT set LBOUND = 30, UBOUND = 40 WHERE ID = 2011;</v>
      </c>
      <c r="P43"/>
      <c r="Q43"/>
      <c r="R43"/>
      <c r="S43"/>
      <c r="T43"/>
      <c r="U43"/>
      <c r="V43"/>
      <c r="W43"/>
      <c r="X43"/>
      <c r="Y43"/>
      <c r="Z43"/>
      <c r="AA43"/>
      <c r="AB43"/>
      <c r="AC43"/>
      <c r="AD43"/>
      <c r="AE43"/>
      <c r="AF43"/>
      <c r="AG43"/>
      <c r="AH43"/>
      <c r="AI43"/>
      <c r="AJ43"/>
      <c r="AK43"/>
    </row>
    <row r="44" spans="1:37" s="78" customFormat="1" x14ac:dyDescent="0.35">
      <c r="A44" s="78">
        <v>2012</v>
      </c>
      <c r="B44" s="78" t="s">
        <v>1004</v>
      </c>
      <c r="C44" s="78">
        <v>2000</v>
      </c>
      <c r="D44" s="78" t="s">
        <v>921</v>
      </c>
      <c r="E44" s="78" t="s">
        <v>962</v>
      </c>
      <c r="F44" s="78" t="s">
        <v>878</v>
      </c>
      <c r="G44" s="79" t="s">
        <v>963</v>
      </c>
      <c r="H44" s="78">
        <v>20</v>
      </c>
      <c r="K44" s="78">
        <v>1</v>
      </c>
      <c r="L44"/>
      <c r="M44" t="str">
        <f t="shared" si="0"/>
        <v>(2012, 'Crisis (ESR)', 2000, 'ESR', '100, 200', 'Gender, Age', '["Man", "20 years under"]', 20, NULL, NULL, 1, 'Raminder Ahlawat'),</v>
      </c>
      <c r="N44"/>
      <c r="O44" t="str">
        <f t="shared" si="1"/>
        <v>update TEST_RESULT set LBOUND = 20, UBOUND = NULL WHERE ID = 2012;</v>
      </c>
      <c r="P44"/>
      <c r="Q44"/>
      <c r="R44"/>
      <c r="S44"/>
      <c r="T44"/>
      <c r="U44"/>
      <c r="V44"/>
      <c r="W44"/>
      <c r="X44"/>
      <c r="Y44"/>
      <c r="Z44"/>
      <c r="AA44"/>
      <c r="AB44"/>
      <c r="AC44"/>
      <c r="AD44"/>
      <c r="AE44"/>
      <c r="AF44"/>
      <c r="AG44"/>
      <c r="AH44"/>
      <c r="AI44"/>
      <c r="AJ44"/>
      <c r="AK44"/>
    </row>
    <row r="45" spans="1:37" s="78" customFormat="1" x14ac:dyDescent="0.35">
      <c r="A45" s="78">
        <v>2013</v>
      </c>
      <c r="B45" s="78" t="s">
        <v>1004</v>
      </c>
      <c r="C45" s="78">
        <v>2000</v>
      </c>
      <c r="D45" s="78" t="s">
        <v>921</v>
      </c>
      <c r="E45" s="78" t="s">
        <v>962</v>
      </c>
      <c r="F45" s="78" t="s">
        <v>878</v>
      </c>
      <c r="G45" s="79" t="s">
        <v>965</v>
      </c>
      <c r="H45" s="78">
        <v>20</v>
      </c>
      <c r="K45" s="78">
        <v>1</v>
      </c>
      <c r="L45"/>
      <c r="M45" t="str">
        <f t="shared" si="0"/>
        <v>(2013, 'Crisis (ESR)', 2000, 'ESR', '100, 200', 'Gender, Age', '["Man", "20 - 29 years,30 - 39 years,40 - 49 years"]', 20, NULL, NULL, 1, 'Raminder Ahlawat'),</v>
      </c>
      <c r="N45"/>
      <c r="O45" t="str">
        <f t="shared" si="1"/>
        <v>update TEST_RESULT set LBOUND = 20, UBOUND = NULL WHERE ID = 2013;</v>
      </c>
      <c r="P45"/>
      <c r="Q45"/>
      <c r="R45"/>
      <c r="S45"/>
      <c r="T45"/>
      <c r="U45"/>
      <c r="V45"/>
      <c r="W45"/>
      <c r="X45"/>
      <c r="Y45"/>
      <c r="Z45"/>
      <c r="AA45"/>
      <c r="AB45"/>
      <c r="AC45"/>
      <c r="AD45"/>
      <c r="AE45"/>
      <c r="AF45"/>
      <c r="AG45"/>
      <c r="AH45"/>
      <c r="AI45"/>
      <c r="AJ45"/>
      <c r="AK45"/>
    </row>
    <row r="46" spans="1:37" s="78" customFormat="1" x14ac:dyDescent="0.35">
      <c r="A46" s="78">
        <v>2014</v>
      </c>
      <c r="B46" s="78" t="s">
        <v>1004</v>
      </c>
      <c r="C46" s="78">
        <v>2000</v>
      </c>
      <c r="D46" s="78" t="s">
        <v>921</v>
      </c>
      <c r="E46" s="78" t="s">
        <v>962</v>
      </c>
      <c r="F46" s="78" t="s">
        <v>878</v>
      </c>
      <c r="G46" s="79" t="s">
        <v>966</v>
      </c>
      <c r="H46" s="78">
        <v>25</v>
      </c>
      <c r="K46" s="78">
        <v>1</v>
      </c>
      <c r="L46"/>
      <c r="M46" t="str">
        <f t="shared" si="0"/>
        <v>(2014, 'Crisis (ESR)', 2000, 'ESR', '100, 200', 'Gender, Age', '["Man", "50 - 59 years,60 - 69 years,70 - 79 years,80 years and over"]', 25, NULL, NULL, 1, 'Raminder Ahlawat'),</v>
      </c>
      <c r="N46"/>
      <c r="O46" t="str">
        <f t="shared" si="1"/>
        <v>update TEST_RESULT set LBOUND = 25, UBOUND = NULL WHERE ID = 2014;</v>
      </c>
      <c r="P46"/>
      <c r="Q46"/>
      <c r="R46"/>
      <c r="S46"/>
      <c r="T46"/>
      <c r="U46"/>
      <c r="V46"/>
      <c r="W46"/>
      <c r="X46"/>
      <c r="Y46"/>
      <c r="Z46"/>
      <c r="AA46"/>
      <c r="AB46"/>
      <c r="AC46"/>
      <c r="AD46"/>
      <c r="AE46"/>
      <c r="AF46"/>
      <c r="AG46"/>
      <c r="AH46"/>
      <c r="AI46"/>
      <c r="AJ46"/>
      <c r="AK46"/>
    </row>
    <row r="47" spans="1:37" s="78" customFormat="1" x14ac:dyDescent="0.35">
      <c r="A47" s="78">
        <v>2015</v>
      </c>
      <c r="B47" s="78" t="s">
        <v>1004</v>
      </c>
      <c r="C47" s="78">
        <v>2000</v>
      </c>
      <c r="D47" s="78" t="s">
        <v>921</v>
      </c>
      <c r="E47" s="78" t="s">
        <v>962</v>
      </c>
      <c r="F47" s="78" t="s">
        <v>878</v>
      </c>
      <c r="G47" s="79" t="s">
        <v>964</v>
      </c>
      <c r="H47" s="78">
        <v>20</v>
      </c>
      <c r="K47" s="78">
        <v>1</v>
      </c>
      <c r="L47"/>
      <c r="M47" t="str">
        <f t="shared" si="0"/>
        <v>(2015, 'Crisis (ESR)', 2000, 'ESR', '100, 200', 'Gender, Age', '["Woman", "20 years under"]', 20, NULL, NULL, 1, 'Raminder Ahlawat'),</v>
      </c>
      <c r="N47"/>
      <c r="O47" t="str">
        <f t="shared" si="1"/>
        <v>update TEST_RESULT set LBOUND = 20, UBOUND = NULL WHERE ID = 2015;</v>
      </c>
      <c r="P47"/>
      <c r="Q47"/>
      <c r="R47"/>
      <c r="S47"/>
      <c r="T47"/>
      <c r="U47"/>
      <c r="V47"/>
      <c r="W47"/>
      <c r="X47"/>
      <c r="Y47"/>
      <c r="Z47"/>
      <c r="AA47"/>
      <c r="AB47"/>
      <c r="AC47"/>
      <c r="AD47"/>
      <c r="AE47"/>
      <c r="AF47"/>
      <c r="AG47"/>
      <c r="AH47"/>
      <c r="AI47"/>
      <c r="AJ47"/>
      <c r="AK47"/>
    </row>
    <row r="48" spans="1:37" s="78" customFormat="1" x14ac:dyDescent="0.35">
      <c r="A48" s="78">
        <v>2016</v>
      </c>
      <c r="B48" s="78" t="s">
        <v>1004</v>
      </c>
      <c r="C48" s="78">
        <v>2000</v>
      </c>
      <c r="D48" s="78" t="s">
        <v>921</v>
      </c>
      <c r="E48" s="78" t="s">
        <v>962</v>
      </c>
      <c r="F48" s="78" t="s">
        <v>878</v>
      </c>
      <c r="G48" s="79" t="s">
        <v>967</v>
      </c>
      <c r="H48" s="78">
        <v>30</v>
      </c>
      <c r="K48" s="78">
        <v>1</v>
      </c>
      <c r="L48"/>
      <c r="M48" t="str">
        <f t="shared" si="0"/>
        <v>(2016, 'Crisis (ESR)', 2000, 'ESR', '100, 200', 'Gender, Age', '["Woman", "20 - 29 years,30 - 39 years,40 - 49 years"]', 30, NULL, NULL, 1, 'Raminder Ahlawat'),</v>
      </c>
      <c r="N48"/>
      <c r="O48" t="str">
        <f t="shared" si="1"/>
        <v>update TEST_RESULT set LBOUND = 30, UBOUND = NULL WHERE ID = 2016;</v>
      </c>
      <c r="P48"/>
      <c r="Q48"/>
      <c r="R48"/>
      <c r="S48"/>
      <c r="T48"/>
      <c r="U48"/>
      <c r="V48"/>
      <c r="W48"/>
      <c r="X48"/>
      <c r="Y48"/>
      <c r="Z48"/>
      <c r="AA48"/>
      <c r="AB48"/>
      <c r="AC48"/>
      <c r="AD48"/>
      <c r="AE48"/>
      <c r="AF48"/>
      <c r="AG48"/>
      <c r="AH48"/>
      <c r="AI48"/>
      <c r="AJ48"/>
      <c r="AK48"/>
    </row>
    <row r="49" spans="1:37" s="78" customFormat="1" x14ac:dyDescent="0.35">
      <c r="A49" s="78">
        <v>2017</v>
      </c>
      <c r="B49" s="78" t="s">
        <v>1004</v>
      </c>
      <c r="C49" s="78">
        <v>2000</v>
      </c>
      <c r="D49" s="78" t="s">
        <v>921</v>
      </c>
      <c r="E49" s="78" t="s">
        <v>962</v>
      </c>
      <c r="F49" s="78" t="s">
        <v>878</v>
      </c>
      <c r="G49" s="79" t="s">
        <v>968</v>
      </c>
      <c r="H49" s="78">
        <v>40</v>
      </c>
      <c r="K49" s="78">
        <v>1</v>
      </c>
      <c r="L49"/>
      <c r="M49" t="str">
        <f t="shared" si="0"/>
        <v>(2017, 'Crisis (ESR)', 2000, 'ESR', '100, 200', 'Gender, Age', '["Woman", "50 - 59 years,60 - 69 years,70 - 79 years,80 years and over"]', 40, NULL, NULL, 1, 'Raminder Ahlawat'),</v>
      </c>
      <c r="N49"/>
      <c r="O49" t="str">
        <f t="shared" si="1"/>
        <v>update TEST_RESULT set LBOUND = 40, UBOUND = NULL WHERE ID = 2017;</v>
      </c>
      <c r="P49"/>
      <c r="Q49"/>
      <c r="R49"/>
      <c r="S49"/>
      <c r="T49"/>
      <c r="U49"/>
      <c r="V49"/>
      <c r="W49"/>
      <c r="X49"/>
      <c r="Y49"/>
      <c r="Z49"/>
      <c r="AA49"/>
      <c r="AB49"/>
      <c r="AC49"/>
      <c r="AD49"/>
      <c r="AE49"/>
      <c r="AF49"/>
      <c r="AG49"/>
      <c r="AH49"/>
      <c r="AI49"/>
      <c r="AJ49"/>
      <c r="AK49"/>
    </row>
    <row r="50" spans="1:37" s="80" customFormat="1" x14ac:dyDescent="0.35">
      <c r="A50" s="80">
        <v>3000</v>
      </c>
      <c r="B50" s="80" t="s">
        <v>971</v>
      </c>
      <c r="C50" s="80">
        <v>3000</v>
      </c>
      <c r="D50" s="80" t="s">
        <v>932</v>
      </c>
      <c r="G50" s="81"/>
      <c r="H50" s="80">
        <v>2.15</v>
      </c>
      <c r="I50" s="80">
        <v>2.5499999999999998</v>
      </c>
      <c r="K50" s="80">
        <v>3</v>
      </c>
      <c r="L50"/>
      <c r="M50" t="str">
        <f t="shared" si="0"/>
        <v>(3000, 'Normal (Calcium)', 3000, 'Calcium', '', '', '', 2.15, 2.55, NULL, 3, 'Raminder Ahlawat'),</v>
      </c>
      <c r="N50"/>
      <c r="O50" t="str">
        <f t="shared" si="1"/>
        <v>update TEST_RESULT set LBOUND = 2.15, UBOUND = 2.55 WHERE ID = 3000;</v>
      </c>
      <c r="P50"/>
      <c r="Q50"/>
      <c r="R50"/>
      <c r="S50"/>
      <c r="T50"/>
      <c r="U50"/>
      <c r="V50"/>
      <c r="W50"/>
      <c r="X50"/>
      <c r="Y50"/>
      <c r="Z50"/>
      <c r="AA50"/>
      <c r="AB50"/>
      <c r="AC50"/>
      <c r="AD50"/>
      <c r="AE50"/>
      <c r="AF50"/>
      <c r="AG50"/>
      <c r="AH50"/>
      <c r="AI50"/>
      <c r="AJ50"/>
      <c r="AK50"/>
    </row>
    <row r="51" spans="1:37" s="80" customFormat="1" x14ac:dyDescent="0.35">
      <c r="A51" s="80">
        <v>3010</v>
      </c>
      <c r="B51" s="80" t="s">
        <v>976</v>
      </c>
      <c r="C51" s="80">
        <v>3010</v>
      </c>
      <c r="D51" s="80" t="s">
        <v>58</v>
      </c>
      <c r="G51" s="81"/>
      <c r="H51" s="80">
        <v>80</v>
      </c>
      <c r="I51" s="80">
        <v>110</v>
      </c>
      <c r="K51" s="80">
        <v>3</v>
      </c>
      <c r="L51"/>
      <c r="M51" t="str">
        <f t="shared" si="0"/>
        <v>(3010, 'Normal (Glucose fasting)', 3010, 'Glucose', '', '', '', 80, 110, NULL, 3, 'Raminder Ahlawat'),</v>
      </c>
      <c r="N51"/>
      <c r="O51" t="str">
        <f t="shared" si="1"/>
        <v>update TEST_RESULT set LBOUND = 80, UBOUND = 110 WHERE ID = 3010;</v>
      </c>
      <c r="P51"/>
      <c r="Q51"/>
      <c r="R51"/>
      <c r="S51"/>
      <c r="T51"/>
      <c r="U51"/>
      <c r="V51"/>
      <c r="W51"/>
      <c r="X51"/>
      <c r="Y51"/>
      <c r="Z51"/>
      <c r="AA51"/>
      <c r="AB51"/>
      <c r="AC51"/>
      <c r="AD51"/>
      <c r="AE51"/>
      <c r="AF51"/>
      <c r="AG51"/>
      <c r="AH51"/>
      <c r="AI51"/>
      <c r="AJ51"/>
      <c r="AK51"/>
    </row>
    <row r="52" spans="1:37" s="80" customFormat="1" x14ac:dyDescent="0.35">
      <c r="A52" s="80">
        <v>3020</v>
      </c>
      <c r="B52" s="80" t="s">
        <v>972</v>
      </c>
      <c r="C52" s="80">
        <v>3020</v>
      </c>
      <c r="D52" s="80" t="s">
        <v>933</v>
      </c>
      <c r="G52" s="81"/>
      <c r="H52" s="80">
        <v>136</v>
      </c>
      <c r="I52" s="80">
        <v>145</v>
      </c>
      <c r="K52" s="80">
        <v>3</v>
      </c>
      <c r="L52"/>
      <c r="M52" t="str">
        <f t="shared" si="0"/>
        <v>(3020, 'Normal (Sodium)', 3020, 'Sodium', '', '', '', 136, 145, NULL, 3, 'Raminder Ahlawat'),</v>
      </c>
      <c r="N52"/>
      <c r="O52" t="str">
        <f t="shared" si="1"/>
        <v>update TEST_RESULT set LBOUND = 136, UBOUND = 145 WHERE ID = 3020;</v>
      </c>
      <c r="P52"/>
      <c r="Q52"/>
      <c r="R52"/>
      <c r="S52"/>
      <c r="T52"/>
      <c r="U52"/>
      <c r="V52"/>
      <c r="W52"/>
      <c r="X52"/>
      <c r="Y52"/>
      <c r="Z52"/>
      <c r="AA52"/>
      <c r="AB52"/>
      <c r="AC52"/>
      <c r="AD52"/>
      <c r="AE52"/>
      <c r="AF52"/>
      <c r="AG52"/>
      <c r="AH52"/>
      <c r="AI52"/>
      <c r="AJ52"/>
      <c r="AK52"/>
    </row>
    <row r="53" spans="1:37" s="80" customFormat="1" x14ac:dyDescent="0.35">
      <c r="A53" s="80">
        <v>3030</v>
      </c>
      <c r="B53" s="80" t="s">
        <v>973</v>
      </c>
      <c r="C53" s="80">
        <v>3030</v>
      </c>
      <c r="D53" s="80" t="s">
        <v>934</v>
      </c>
      <c r="G53" s="81"/>
      <c r="H53" s="80">
        <v>3.5</v>
      </c>
      <c r="I53" s="80">
        <v>5</v>
      </c>
      <c r="K53" s="80">
        <v>3</v>
      </c>
      <c r="L53"/>
      <c r="M53" t="str">
        <f t="shared" si="0"/>
        <v>(3030, 'Normal (Potassium)', 3030, 'Potassium', '', '', '', 3.5, 5, NULL, 3, 'Raminder Ahlawat'),</v>
      </c>
      <c r="N53"/>
      <c r="O53" t="str">
        <f t="shared" si="1"/>
        <v>update TEST_RESULT set LBOUND = 3.5, UBOUND = 5 WHERE ID = 3030;</v>
      </c>
      <c r="P53"/>
      <c r="Q53"/>
      <c r="R53"/>
      <c r="S53"/>
      <c r="T53"/>
      <c r="U53"/>
      <c r="V53"/>
      <c r="W53"/>
      <c r="X53"/>
      <c r="Y53"/>
      <c r="Z53"/>
      <c r="AA53"/>
      <c r="AB53"/>
      <c r="AC53"/>
      <c r="AD53"/>
      <c r="AE53"/>
      <c r="AF53"/>
      <c r="AG53"/>
      <c r="AH53"/>
      <c r="AI53"/>
      <c r="AJ53"/>
      <c r="AK53"/>
    </row>
    <row r="54" spans="1:37" s="80" customFormat="1" x14ac:dyDescent="0.35">
      <c r="A54" s="80">
        <v>3040</v>
      </c>
      <c r="B54" s="80" t="s">
        <v>974</v>
      </c>
      <c r="C54" s="80">
        <v>3040</v>
      </c>
      <c r="D54" s="80" t="s">
        <v>935</v>
      </c>
      <c r="G54" s="81"/>
      <c r="H54" s="80">
        <v>23</v>
      </c>
      <c r="I54" s="80">
        <v>29</v>
      </c>
      <c r="K54" s="80">
        <v>3</v>
      </c>
      <c r="L54"/>
      <c r="M54" t="str">
        <f t="shared" si="0"/>
        <v>(3040, 'Normal (Bicarbonate)', 3040, 'Bicarbonate', '', '', '', 23, 29, NULL, 3, 'Raminder Ahlawat'),</v>
      </c>
      <c r="N54"/>
      <c r="O54" t="str">
        <f t="shared" si="1"/>
        <v>update TEST_RESULT set LBOUND = 23, UBOUND = 29 WHERE ID = 3040;</v>
      </c>
      <c r="P54"/>
      <c r="Q54"/>
      <c r="R54"/>
      <c r="S54"/>
      <c r="T54"/>
      <c r="U54"/>
      <c r="V54"/>
      <c r="W54"/>
      <c r="X54"/>
      <c r="Y54"/>
      <c r="Z54"/>
      <c r="AA54"/>
      <c r="AB54"/>
      <c r="AC54"/>
      <c r="AD54"/>
      <c r="AE54"/>
      <c r="AF54"/>
      <c r="AG54"/>
      <c r="AH54"/>
      <c r="AI54"/>
      <c r="AJ54"/>
      <c r="AK54"/>
    </row>
    <row r="55" spans="1:37" s="80" customFormat="1" x14ac:dyDescent="0.35">
      <c r="A55" s="80">
        <v>3050</v>
      </c>
      <c r="B55" s="80" t="s">
        <v>975</v>
      </c>
      <c r="C55" s="80">
        <v>3050</v>
      </c>
      <c r="D55" s="80" t="s">
        <v>936</v>
      </c>
      <c r="G55" s="81"/>
      <c r="H55" s="80">
        <v>98</v>
      </c>
      <c r="I55" s="80">
        <v>106</v>
      </c>
      <c r="K55" s="80">
        <v>3</v>
      </c>
      <c r="L55"/>
      <c r="M55" t="str">
        <f t="shared" si="0"/>
        <v>(3050, 'Normal (Chloride)', 3050, 'Chloride', '', '', '', 98, 106, NULL, 3, 'Raminder Ahlawat'),</v>
      </c>
      <c r="N55"/>
      <c r="O55" t="str">
        <f t="shared" si="1"/>
        <v>update TEST_RESULT set LBOUND = 98, UBOUND = 106 WHERE ID = 3050;</v>
      </c>
      <c r="P55"/>
      <c r="Q55"/>
      <c r="R55"/>
      <c r="S55"/>
      <c r="T55"/>
      <c r="U55"/>
      <c r="V55"/>
      <c r="W55"/>
      <c r="X55"/>
      <c r="Y55"/>
      <c r="Z55"/>
      <c r="AA55"/>
      <c r="AB55"/>
      <c r="AC55"/>
      <c r="AD55"/>
      <c r="AE55"/>
      <c r="AF55"/>
      <c r="AG55"/>
      <c r="AH55"/>
      <c r="AI55"/>
      <c r="AJ55"/>
      <c r="AK55"/>
    </row>
    <row r="56" spans="1:37" s="80" customFormat="1" x14ac:dyDescent="0.35">
      <c r="A56" s="80">
        <v>3060</v>
      </c>
      <c r="B56" s="80" t="s">
        <v>978</v>
      </c>
      <c r="C56" s="80">
        <v>3060</v>
      </c>
      <c r="D56" s="80" t="s">
        <v>937</v>
      </c>
      <c r="G56" s="81"/>
      <c r="H56" s="80">
        <v>8</v>
      </c>
      <c r="I56" s="80">
        <v>20</v>
      </c>
      <c r="K56" s="80">
        <v>3</v>
      </c>
      <c r="L56"/>
      <c r="M56" t="str">
        <f t="shared" si="0"/>
        <v>(3060, 'Normal (Blood Urea Nitrogen (BUN))', 3060, 'Blood Urea Nitrogen (BUN)', '', '', '', 8, 20, NULL, 3, 'Raminder Ahlawat'),</v>
      </c>
      <c r="N56"/>
      <c r="O56" t="str">
        <f t="shared" si="1"/>
        <v>update TEST_RESULT set LBOUND = 8, UBOUND = 20 WHERE ID = 3060;</v>
      </c>
      <c r="P56"/>
      <c r="Q56"/>
      <c r="R56"/>
      <c r="S56"/>
      <c r="T56"/>
      <c r="U56"/>
      <c r="V56"/>
      <c r="W56"/>
      <c r="X56"/>
      <c r="Y56"/>
      <c r="Z56"/>
      <c r="AA56"/>
      <c r="AB56"/>
      <c r="AC56"/>
      <c r="AD56"/>
      <c r="AE56"/>
      <c r="AF56"/>
      <c r="AG56"/>
      <c r="AH56"/>
      <c r="AI56"/>
      <c r="AJ56"/>
      <c r="AK56"/>
    </row>
    <row r="57" spans="1:37" s="80" customFormat="1" x14ac:dyDescent="0.35">
      <c r="A57" s="80">
        <v>3070</v>
      </c>
      <c r="B57" s="80" t="s">
        <v>979</v>
      </c>
      <c r="C57" s="80">
        <v>3070</v>
      </c>
      <c r="D57" s="80" t="s">
        <v>938</v>
      </c>
      <c r="E57" s="80">
        <v>100</v>
      </c>
      <c r="F57" s="80" t="s">
        <v>171</v>
      </c>
      <c r="G57" s="80" t="s">
        <v>960</v>
      </c>
      <c r="H57" s="80">
        <v>0.7</v>
      </c>
      <c r="I57" s="80">
        <v>1.3</v>
      </c>
      <c r="K57" s="80">
        <v>3</v>
      </c>
      <c r="L57"/>
      <c r="M57" t="str">
        <f t="shared" si="0"/>
        <v>(3070, 'Normal (Creatinine)', 3070, 'Creatinine', '100', 'Gender', '["Man"]', 0.7, 1.3, NULL, 3, 'Raminder Ahlawat'),</v>
      </c>
      <c r="N57"/>
      <c r="O57" t="str">
        <f t="shared" si="1"/>
        <v>update TEST_RESULT set LBOUND = 0.7, UBOUND = 1.3 WHERE ID = 3070;</v>
      </c>
      <c r="P57"/>
      <c r="Q57"/>
      <c r="R57"/>
      <c r="S57"/>
      <c r="T57"/>
      <c r="U57"/>
      <c r="V57"/>
      <c r="W57"/>
      <c r="X57"/>
      <c r="Y57"/>
      <c r="Z57"/>
      <c r="AA57"/>
      <c r="AB57"/>
      <c r="AC57"/>
      <c r="AD57"/>
      <c r="AE57"/>
      <c r="AF57"/>
      <c r="AG57"/>
      <c r="AH57"/>
      <c r="AI57"/>
      <c r="AJ57"/>
      <c r="AK57"/>
    </row>
    <row r="58" spans="1:37" s="80" customFormat="1" x14ac:dyDescent="0.35">
      <c r="A58" s="80">
        <v>3071</v>
      </c>
      <c r="B58" s="80" t="s">
        <v>979</v>
      </c>
      <c r="C58" s="80">
        <v>3070</v>
      </c>
      <c r="D58" s="80" t="s">
        <v>938</v>
      </c>
      <c r="E58" s="80">
        <v>100</v>
      </c>
      <c r="F58" s="80" t="s">
        <v>171</v>
      </c>
      <c r="G58" s="80" t="s">
        <v>961</v>
      </c>
      <c r="H58" s="80">
        <v>0.5</v>
      </c>
      <c r="I58" s="80">
        <v>1.1000000000000001</v>
      </c>
      <c r="K58" s="80">
        <v>3</v>
      </c>
      <c r="L58"/>
      <c r="M58" t="str">
        <f t="shared" si="0"/>
        <v>(3071, 'Normal (Creatinine)', 3070, 'Creatinine', '100', 'Gender', '["Woman"]', 0.5, 1.1, NULL, 3, 'Raminder Ahlawat'),</v>
      </c>
      <c r="N58"/>
      <c r="O58" t="str">
        <f t="shared" si="1"/>
        <v>update TEST_RESULT set LBOUND = 0.5, UBOUND = 1.1 WHERE ID = 3071;</v>
      </c>
      <c r="P58"/>
      <c r="Q58"/>
      <c r="R58"/>
      <c r="S58"/>
      <c r="T58"/>
      <c r="U58"/>
      <c r="V58"/>
      <c r="W58"/>
      <c r="X58"/>
      <c r="Y58"/>
      <c r="Z58"/>
      <c r="AA58"/>
      <c r="AB58"/>
      <c r="AC58"/>
      <c r="AD58"/>
      <c r="AE58"/>
      <c r="AF58"/>
      <c r="AG58"/>
      <c r="AH58"/>
      <c r="AI58"/>
      <c r="AJ58"/>
      <c r="AK58"/>
    </row>
    <row r="59" spans="1:37" s="80" customFormat="1" x14ac:dyDescent="0.35">
      <c r="A59" s="80">
        <v>3080</v>
      </c>
      <c r="B59" s="80" t="s">
        <v>980</v>
      </c>
      <c r="C59" s="80">
        <v>3080</v>
      </c>
      <c r="D59" s="80" t="s">
        <v>939</v>
      </c>
      <c r="G59" s="81"/>
      <c r="H59" s="80">
        <v>3.5</v>
      </c>
      <c r="I59" s="80">
        <v>5.5</v>
      </c>
      <c r="K59" s="80">
        <v>3</v>
      </c>
      <c r="L59"/>
      <c r="M59" t="str">
        <f t="shared" si="0"/>
        <v>(3080, 'Normal (Albumin)', 3080, 'Albumin', '', '', '', 3.5, 5.5, NULL, 3, 'Raminder Ahlawat'),</v>
      </c>
      <c r="N59"/>
      <c r="O59" t="str">
        <f t="shared" si="1"/>
        <v>update TEST_RESULT set LBOUND = 3.5, UBOUND = 5.5 WHERE ID = 3080;</v>
      </c>
      <c r="P59"/>
      <c r="Q59"/>
      <c r="R59"/>
      <c r="S59"/>
      <c r="T59"/>
      <c r="U59"/>
      <c r="V59"/>
      <c r="W59"/>
      <c r="X59"/>
      <c r="Y59"/>
      <c r="Z59"/>
      <c r="AA59"/>
      <c r="AB59"/>
      <c r="AC59"/>
      <c r="AD59"/>
      <c r="AE59"/>
      <c r="AF59"/>
      <c r="AG59"/>
      <c r="AH59"/>
      <c r="AI59"/>
      <c r="AJ59"/>
      <c r="AK59"/>
    </row>
    <row r="60" spans="1:37" s="80" customFormat="1" x14ac:dyDescent="0.35">
      <c r="A60" s="80">
        <v>3090</v>
      </c>
      <c r="B60" s="80" t="s">
        <v>981</v>
      </c>
      <c r="C60" s="80">
        <v>3090</v>
      </c>
      <c r="D60" s="80" t="s">
        <v>954</v>
      </c>
      <c r="G60" s="81"/>
      <c r="H60" s="80">
        <v>5.5</v>
      </c>
      <c r="I60" s="80">
        <v>9</v>
      </c>
      <c r="K60" s="80">
        <v>3</v>
      </c>
      <c r="L60"/>
      <c r="M60" t="str">
        <f t="shared" si="0"/>
        <v>(3090, 'Normal (Total Protein)', 3090, 'Total Protein', '', '', '', 5.5, 9, NULL, 3, 'Raminder Ahlawat'),</v>
      </c>
      <c r="N60"/>
      <c r="O60" t="str">
        <f t="shared" si="1"/>
        <v>update TEST_RESULT set LBOUND = 5.5, UBOUND = 9 WHERE ID = 3090;</v>
      </c>
      <c r="P60"/>
      <c r="Q60"/>
      <c r="R60"/>
      <c r="S60"/>
      <c r="T60"/>
      <c r="U60"/>
      <c r="V60"/>
      <c r="W60"/>
      <c r="X60"/>
      <c r="Y60"/>
      <c r="Z60"/>
      <c r="AA60"/>
      <c r="AB60"/>
      <c r="AC60"/>
      <c r="AD60"/>
      <c r="AE60"/>
      <c r="AF60"/>
      <c r="AG60"/>
      <c r="AH60"/>
      <c r="AI60"/>
      <c r="AJ60"/>
      <c r="AK60"/>
    </row>
    <row r="61" spans="1:37" s="80" customFormat="1" x14ac:dyDescent="0.35">
      <c r="A61" s="80">
        <v>3100</v>
      </c>
      <c r="B61" s="80" t="s">
        <v>982</v>
      </c>
      <c r="C61" s="80">
        <v>3100</v>
      </c>
      <c r="D61" s="80" t="s">
        <v>940</v>
      </c>
      <c r="G61" s="81"/>
      <c r="H61" s="80">
        <v>30</v>
      </c>
      <c r="I61" s="80">
        <v>120</v>
      </c>
      <c r="K61" s="80">
        <v>3</v>
      </c>
      <c r="L61"/>
      <c r="M61" t="str">
        <f t="shared" si="0"/>
        <v>(3100, 'Normal (Alkaline Phosphatase (ALP))', 3100, 'Alkaline Phosphatase (ALP)', '', '', '', 30, 120, NULL, 3, 'Raminder Ahlawat'),</v>
      </c>
      <c r="N61"/>
      <c r="O61" t="str">
        <f t="shared" si="1"/>
        <v>update TEST_RESULT set LBOUND = 30, UBOUND = 120 WHERE ID = 3100;</v>
      </c>
      <c r="P61"/>
      <c r="Q61"/>
      <c r="R61"/>
      <c r="S61"/>
      <c r="T61"/>
      <c r="U61"/>
      <c r="V61"/>
      <c r="W61"/>
      <c r="X61"/>
      <c r="Y61"/>
      <c r="Z61"/>
      <c r="AA61"/>
      <c r="AB61"/>
      <c r="AC61"/>
      <c r="AD61"/>
      <c r="AE61"/>
      <c r="AF61"/>
      <c r="AG61"/>
      <c r="AH61"/>
      <c r="AI61"/>
      <c r="AJ61"/>
      <c r="AK61"/>
    </row>
    <row r="62" spans="1:37" s="80" customFormat="1" x14ac:dyDescent="0.35">
      <c r="A62" s="80">
        <v>3110</v>
      </c>
      <c r="B62" s="80" t="s">
        <v>983</v>
      </c>
      <c r="C62" s="80">
        <v>3110</v>
      </c>
      <c r="D62" s="80" t="s">
        <v>941</v>
      </c>
      <c r="G62" s="81"/>
      <c r="H62" s="80">
        <v>4</v>
      </c>
      <c r="I62" s="80">
        <v>36</v>
      </c>
      <c r="K62" s="80">
        <v>3</v>
      </c>
      <c r="L62"/>
      <c r="M62" t="str">
        <f t="shared" si="0"/>
        <v>(3110, 'Normal (Alanine Aminotransferase (ALT))', 3110, 'Alanine Aminotransferase (ALT)', '', '', '', 4, 36, NULL, 3, 'Raminder Ahlawat'),</v>
      </c>
      <c r="N62"/>
      <c r="O62" t="str">
        <f t="shared" si="1"/>
        <v>update TEST_RESULT set LBOUND = 4, UBOUND = 36 WHERE ID = 3110;</v>
      </c>
      <c r="P62"/>
      <c r="Q62"/>
      <c r="R62"/>
      <c r="S62"/>
      <c r="T62"/>
      <c r="U62"/>
      <c r="V62"/>
      <c r="W62"/>
      <c r="X62"/>
      <c r="Y62"/>
      <c r="Z62"/>
      <c r="AA62"/>
      <c r="AB62"/>
      <c r="AC62"/>
      <c r="AD62"/>
      <c r="AE62"/>
      <c r="AF62"/>
      <c r="AG62"/>
      <c r="AH62"/>
      <c r="AI62"/>
      <c r="AJ62"/>
      <c r="AK62"/>
    </row>
    <row r="63" spans="1:37" s="80" customFormat="1" x14ac:dyDescent="0.35">
      <c r="A63" s="80">
        <v>3120</v>
      </c>
      <c r="B63" s="80" t="s">
        <v>984</v>
      </c>
      <c r="C63" s="80">
        <v>3120</v>
      </c>
      <c r="D63" s="80" t="s">
        <v>942</v>
      </c>
      <c r="G63" s="81"/>
      <c r="H63" s="80">
        <v>8</v>
      </c>
      <c r="I63" s="80">
        <v>33</v>
      </c>
      <c r="K63" s="80">
        <v>3</v>
      </c>
      <c r="L63"/>
      <c r="M63" t="str">
        <f t="shared" si="0"/>
        <v>(3120, 'Normal (Aspartate Aminotransferase (AST))', 3120, 'Aspartate Aminotransferase (AST)', '', '', '', 8, 33, NULL, 3, 'Raminder Ahlawat'),</v>
      </c>
      <c r="N63"/>
      <c r="O63" t="str">
        <f t="shared" si="1"/>
        <v>update TEST_RESULT set LBOUND = 8, UBOUND = 33 WHERE ID = 3120;</v>
      </c>
      <c r="P63"/>
      <c r="Q63"/>
      <c r="R63"/>
      <c r="S63"/>
      <c r="T63"/>
      <c r="U63"/>
      <c r="V63"/>
      <c r="W63"/>
      <c r="X63"/>
      <c r="Y63"/>
      <c r="Z63"/>
      <c r="AA63"/>
      <c r="AB63"/>
      <c r="AC63"/>
      <c r="AD63"/>
      <c r="AE63"/>
      <c r="AF63"/>
      <c r="AG63"/>
      <c r="AH63"/>
      <c r="AI63"/>
      <c r="AJ63"/>
      <c r="AK63"/>
    </row>
    <row r="64" spans="1:37" s="80" customFormat="1" x14ac:dyDescent="0.35">
      <c r="A64" s="80">
        <v>3130</v>
      </c>
      <c r="B64" s="80" t="s">
        <v>985</v>
      </c>
      <c r="C64" s="80">
        <v>3130</v>
      </c>
      <c r="D64" s="80" t="s">
        <v>943</v>
      </c>
      <c r="G64" s="81"/>
      <c r="H64" s="80">
        <v>0.3</v>
      </c>
      <c r="I64" s="80">
        <v>1</v>
      </c>
      <c r="K64" s="80">
        <v>3</v>
      </c>
      <c r="L64"/>
      <c r="M64" t="str">
        <f t="shared" si="0"/>
        <v>(3130, 'Normal (Bilirubin)', 3130, 'Bilirubin', '', '', '', 0.3, 1, NULL, 3, 'Raminder Ahlawat'),</v>
      </c>
      <c r="N64"/>
      <c r="O64" t="str">
        <f t="shared" si="1"/>
        <v>update TEST_RESULT set LBOUND = 0.3, UBOUND = 1 WHERE ID = 3130;</v>
      </c>
      <c r="P64"/>
      <c r="Q64"/>
      <c r="R64"/>
      <c r="S64"/>
      <c r="T64"/>
      <c r="U64"/>
      <c r="V64"/>
      <c r="W64"/>
      <c r="X64"/>
      <c r="Y64"/>
      <c r="Z64"/>
      <c r="AA64"/>
      <c r="AB64"/>
      <c r="AC64"/>
      <c r="AD64"/>
      <c r="AE64"/>
      <c r="AF64"/>
      <c r="AG64"/>
      <c r="AH64"/>
      <c r="AI64"/>
      <c r="AJ64"/>
      <c r="AK64"/>
    </row>
    <row r="65" spans="1:37" s="80" customFormat="1" x14ac:dyDescent="0.35">
      <c r="A65" s="80">
        <v>3149</v>
      </c>
      <c r="B65" s="80" t="s">
        <v>1067</v>
      </c>
      <c r="C65" s="80">
        <v>3140</v>
      </c>
      <c r="D65" s="80" t="s">
        <v>1065</v>
      </c>
      <c r="G65" s="81"/>
      <c r="H65" s="80">
        <v>2.6</v>
      </c>
      <c r="I65" s="80">
        <v>10</v>
      </c>
      <c r="K65" s="80">
        <v>3</v>
      </c>
      <c r="L65"/>
      <c r="M65" t="str">
        <f t="shared" si="0"/>
        <v>(3149, 'Normal (Insulin)', 3140, 'Insulin', '', '', '', 2.6, 10, NULL, 3, 'Raminder Ahlawat'),</v>
      </c>
      <c r="N65"/>
      <c r="O65" t="str">
        <f t="shared" si="1"/>
        <v>update TEST_RESULT set LBOUND = 2.6, UBOUND = 10 WHERE ID = 3149;</v>
      </c>
      <c r="P65"/>
      <c r="Q65"/>
      <c r="R65"/>
      <c r="S65"/>
      <c r="T65"/>
      <c r="U65"/>
      <c r="V65"/>
      <c r="W65"/>
      <c r="X65"/>
      <c r="Y65"/>
      <c r="Z65"/>
      <c r="AA65"/>
      <c r="AB65"/>
      <c r="AC65"/>
      <c r="AD65"/>
      <c r="AE65"/>
      <c r="AF65"/>
      <c r="AG65"/>
      <c r="AH65"/>
      <c r="AI65"/>
      <c r="AJ65"/>
      <c r="AK65"/>
    </row>
    <row r="66" spans="1:37" s="80" customFormat="1" x14ac:dyDescent="0.35">
      <c r="A66" s="80">
        <f t="shared" ref="A66:A72" si="2">A50+1</f>
        <v>3001</v>
      </c>
      <c r="B66" s="80" t="s">
        <v>1019</v>
      </c>
      <c r="C66" s="80">
        <v>3000</v>
      </c>
      <c r="D66" s="80" t="s">
        <v>932</v>
      </c>
      <c r="G66" s="81"/>
      <c r="I66" s="80">
        <v>2.15</v>
      </c>
      <c r="K66" s="80">
        <v>1</v>
      </c>
      <c r="L66"/>
      <c r="M66" t="str">
        <f t="shared" si="0"/>
        <v>(3001, 'Hypo (Calcium)', 3000, 'Calcium', '', '', '', NULL, 2.15, NULL, 1, 'Raminder Ahlawat'),</v>
      </c>
      <c r="N66"/>
      <c r="O66" t="str">
        <f t="shared" si="1"/>
        <v>update TEST_RESULT set LBOUND = NULL, UBOUND = 2.15 WHERE ID = 3001;</v>
      </c>
      <c r="P66"/>
      <c r="Q66"/>
      <c r="R66"/>
      <c r="S66"/>
      <c r="T66"/>
      <c r="U66"/>
      <c r="V66"/>
      <c r="W66"/>
      <c r="X66"/>
      <c r="Y66"/>
      <c r="Z66"/>
      <c r="AA66"/>
      <c r="AB66"/>
      <c r="AC66"/>
      <c r="AD66"/>
      <c r="AE66"/>
      <c r="AF66"/>
      <c r="AG66"/>
      <c r="AH66"/>
      <c r="AI66"/>
      <c r="AJ66"/>
      <c r="AK66"/>
    </row>
    <row r="67" spans="1:37" s="80" customFormat="1" x14ac:dyDescent="0.35">
      <c r="A67" s="80">
        <f t="shared" si="2"/>
        <v>3011</v>
      </c>
      <c r="B67" s="80" t="s">
        <v>1020</v>
      </c>
      <c r="C67" s="80">
        <v>3010</v>
      </c>
      <c r="D67" s="80" t="s">
        <v>58</v>
      </c>
      <c r="G67" s="81"/>
      <c r="I67" s="80">
        <v>80</v>
      </c>
      <c r="K67" s="80">
        <v>1</v>
      </c>
      <c r="L67"/>
      <c r="M67" t="str">
        <f t="shared" ref="M67:M130" si="3">CONCATENATE("(", A67,", '",B67,"', ",C67,", '",D67, "', '",E67,"', '", F67, "', '", G67, "', ", IF(H67="", "NULL", H67), ", ", IF(I67="","NULL", I67), ", ", IF(J67="", "NULL", J67), ", ", K67, ", 'Raminder Ahlawat'),")</f>
        <v>(3011, 'Hypo (Glucose fasting)', 3010, 'Glucose', '', '', '', NULL, 80, NULL, 1, 'Raminder Ahlawat'),</v>
      </c>
      <c r="N67"/>
      <c r="O67" t="str">
        <f t="shared" ref="O67:O130" si="4">CONCATENATE(O$1,IF(H67="", "NULL", H67),", UBOUND = ",IF(I67="", "NULL", I67), " WHERE ID = ",A67,";")</f>
        <v>update TEST_RESULT set LBOUND = NULL, UBOUND = 80 WHERE ID = 3011;</v>
      </c>
      <c r="P67"/>
      <c r="Q67"/>
      <c r="R67"/>
      <c r="S67"/>
      <c r="T67"/>
      <c r="U67"/>
      <c r="V67"/>
      <c r="W67"/>
      <c r="X67"/>
      <c r="Y67"/>
      <c r="Z67"/>
      <c r="AA67"/>
      <c r="AB67"/>
      <c r="AC67"/>
      <c r="AD67"/>
      <c r="AE67"/>
      <c r="AF67"/>
      <c r="AG67"/>
      <c r="AH67"/>
      <c r="AI67"/>
      <c r="AJ67"/>
      <c r="AK67"/>
    </row>
    <row r="68" spans="1:37" s="80" customFormat="1" x14ac:dyDescent="0.35">
      <c r="A68" s="80">
        <f t="shared" si="2"/>
        <v>3021</v>
      </c>
      <c r="B68" s="80" t="s">
        <v>1021</v>
      </c>
      <c r="C68" s="80">
        <v>3020</v>
      </c>
      <c r="D68" s="80" t="s">
        <v>933</v>
      </c>
      <c r="G68" s="81"/>
      <c r="I68" s="80">
        <v>136</v>
      </c>
      <c r="K68" s="80">
        <v>1</v>
      </c>
      <c r="L68"/>
      <c r="M68" t="str">
        <f t="shared" si="3"/>
        <v>(3021, 'Hypo (Sodium)', 3020, 'Sodium', '', '', '', NULL, 136, NULL, 1, 'Raminder Ahlawat'),</v>
      </c>
      <c r="N68"/>
      <c r="O68" t="str">
        <f t="shared" si="4"/>
        <v>update TEST_RESULT set LBOUND = NULL, UBOUND = 136 WHERE ID = 3021;</v>
      </c>
      <c r="P68"/>
      <c r="Q68"/>
      <c r="R68"/>
      <c r="S68"/>
      <c r="T68"/>
      <c r="U68"/>
      <c r="V68"/>
      <c r="W68"/>
      <c r="X68"/>
      <c r="Y68"/>
      <c r="Z68"/>
      <c r="AA68"/>
      <c r="AB68"/>
      <c r="AC68"/>
      <c r="AD68"/>
      <c r="AE68"/>
      <c r="AF68"/>
      <c r="AG68"/>
      <c r="AH68"/>
      <c r="AI68"/>
      <c r="AJ68"/>
      <c r="AK68"/>
    </row>
    <row r="69" spans="1:37" s="80" customFormat="1" x14ac:dyDescent="0.35">
      <c r="A69" s="80">
        <f t="shared" si="2"/>
        <v>3031</v>
      </c>
      <c r="B69" s="80" t="s">
        <v>1022</v>
      </c>
      <c r="C69" s="80">
        <v>3030</v>
      </c>
      <c r="D69" s="80" t="s">
        <v>934</v>
      </c>
      <c r="G69" s="81"/>
      <c r="I69" s="80">
        <v>3.5</v>
      </c>
      <c r="K69" s="80">
        <v>1</v>
      </c>
      <c r="L69"/>
      <c r="M69" t="str">
        <f t="shared" si="3"/>
        <v>(3031, 'Hypo (Potassium)', 3030, 'Potassium', '', '', '', NULL, 3.5, NULL, 1, 'Raminder Ahlawat'),</v>
      </c>
      <c r="N69"/>
      <c r="O69" t="str">
        <f t="shared" si="4"/>
        <v>update TEST_RESULT set LBOUND = NULL, UBOUND = 3.5 WHERE ID = 3031;</v>
      </c>
      <c r="P69"/>
      <c r="Q69"/>
      <c r="R69"/>
      <c r="S69"/>
      <c r="T69"/>
      <c r="U69"/>
      <c r="V69"/>
      <c r="W69"/>
      <c r="X69"/>
      <c r="Y69"/>
      <c r="Z69"/>
      <c r="AA69"/>
      <c r="AB69"/>
      <c r="AC69"/>
      <c r="AD69"/>
      <c r="AE69"/>
      <c r="AF69"/>
      <c r="AG69"/>
      <c r="AH69"/>
      <c r="AI69"/>
      <c r="AJ69"/>
      <c r="AK69"/>
    </row>
    <row r="70" spans="1:37" s="80" customFormat="1" x14ac:dyDescent="0.35">
      <c r="A70" s="80">
        <f t="shared" si="2"/>
        <v>3041</v>
      </c>
      <c r="B70" s="80" t="s">
        <v>1023</v>
      </c>
      <c r="C70" s="80">
        <v>3040</v>
      </c>
      <c r="D70" s="80" t="s">
        <v>935</v>
      </c>
      <c r="G70" s="81"/>
      <c r="I70" s="80">
        <v>23</v>
      </c>
      <c r="K70" s="80">
        <v>1</v>
      </c>
      <c r="L70"/>
      <c r="M70" t="str">
        <f t="shared" si="3"/>
        <v>(3041, 'Hypo (Bicarbonate)', 3040, 'Bicarbonate', '', '', '', NULL, 23, NULL, 1, 'Raminder Ahlawat'),</v>
      </c>
      <c r="N70"/>
      <c r="O70" t="str">
        <f t="shared" si="4"/>
        <v>update TEST_RESULT set LBOUND = NULL, UBOUND = 23 WHERE ID = 3041;</v>
      </c>
      <c r="P70"/>
      <c r="Q70"/>
      <c r="R70"/>
      <c r="S70"/>
      <c r="T70"/>
      <c r="U70"/>
      <c r="V70"/>
      <c r="W70"/>
      <c r="X70"/>
      <c r="Y70"/>
      <c r="Z70"/>
      <c r="AA70"/>
      <c r="AB70"/>
      <c r="AC70"/>
      <c r="AD70"/>
      <c r="AE70"/>
      <c r="AF70"/>
      <c r="AG70"/>
      <c r="AH70"/>
      <c r="AI70"/>
      <c r="AJ70"/>
      <c r="AK70"/>
    </row>
    <row r="71" spans="1:37" s="80" customFormat="1" x14ac:dyDescent="0.35">
      <c r="A71" s="80">
        <f t="shared" si="2"/>
        <v>3051</v>
      </c>
      <c r="B71" s="80" t="s">
        <v>1024</v>
      </c>
      <c r="C71" s="80">
        <v>3050</v>
      </c>
      <c r="D71" s="80" t="s">
        <v>936</v>
      </c>
      <c r="G71" s="81"/>
      <c r="I71" s="80">
        <v>98</v>
      </c>
      <c r="K71" s="80">
        <v>1</v>
      </c>
      <c r="L71"/>
      <c r="M71" t="str">
        <f t="shared" si="3"/>
        <v>(3051, 'Hypo (Chloride)', 3050, 'Chloride', '', '', '', NULL, 98, NULL, 1, 'Raminder Ahlawat'),</v>
      </c>
      <c r="N71"/>
      <c r="O71" t="str">
        <f t="shared" si="4"/>
        <v>update TEST_RESULT set LBOUND = NULL, UBOUND = 98 WHERE ID = 3051;</v>
      </c>
      <c r="P71"/>
      <c r="Q71"/>
      <c r="R71"/>
      <c r="S71"/>
      <c r="T71"/>
      <c r="U71"/>
      <c r="V71"/>
      <c r="W71"/>
      <c r="X71"/>
      <c r="Y71"/>
      <c r="Z71"/>
      <c r="AA71"/>
      <c r="AB71"/>
      <c r="AC71"/>
      <c r="AD71"/>
      <c r="AE71"/>
      <c r="AF71"/>
      <c r="AG71"/>
      <c r="AH71"/>
      <c r="AI71"/>
      <c r="AJ71"/>
      <c r="AK71"/>
    </row>
    <row r="72" spans="1:37" s="80" customFormat="1" x14ac:dyDescent="0.35">
      <c r="A72" s="80">
        <f t="shared" si="2"/>
        <v>3061</v>
      </c>
      <c r="B72" s="80" t="s">
        <v>1025</v>
      </c>
      <c r="C72" s="80">
        <v>3060</v>
      </c>
      <c r="D72" s="80" t="s">
        <v>937</v>
      </c>
      <c r="G72" s="81"/>
      <c r="I72" s="80">
        <v>8</v>
      </c>
      <c r="K72" s="80">
        <v>1</v>
      </c>
      <c r="L72"/>
      <c r="M72" t="str">
        <f t="shared" si="3"/>
        <v>(3061, 'Hypo (Blood Urea Nitrogen (BUN))', 3060, 'Blood Urea Nitrogen (BUN)', '', '', '', NULL, 8, NULL, 1, 'Raminder Ahlawat'),</v>
      </c>
      <c r="N72"/>
      <c r="O72" t="str">
        <f t="shared" si="4"/>
        <v>update TEST_RESULT set LBOUND = NULL, UBOUND = 8 WHERE ID = 3061;</v>
      </c>
      <c r="P72"/>
      <c r="Q72"/>
      <c r="R72"/>
      <c r="S72"/>
      <c r="T72"/>
      <c r="U72"/>
      <c r="V72"/>
      <c r="W72"/>
      <c r="X72"/>
      <c r="Y72"/>
      <c r="Z72"/>
      <c r="AA72"/>
      <c r="AB72"/>
      <c r="AC72"/>
      <c r="AD72"/>
      <c r="AE72"/>
      <c r="AF72"/>
      <c r="AG72"/>
      <c r="AH72"/>
      <c r="AI72"/>
      <c r="AJ72"/>
      <c r="AK72"/>
    </row>
    <row r="73" spans="1:37" s="80" customFormat="1" x14ac:dyDescent="0.35">
      <c r="A73" s="80">
        <f>A58+1</f>
        <v>3072</v>
      </c>
      <c r="B73" s="80" t="s">
        <v>1026</v>
      </c>
      <c r="C73" s="80">
        <v>3070</v>
      </c>
      <c r="D73" s="80" t="s">
        <v>938</v>
      </c>
      <c r="E73" s="80">
        <v>100</v>
      </c>
      <c r="F73" s="80" t="s">
        <v>171</v>
      </c>
      <c r="G73" s="80" t="s">
        <v>960</v>
      </c>
      <c r="I73" s="80">
        <v>0.7</v>
      </c>
      <c r="K73" s="80">
        <v>1</v>
      </c>
      <c r="L73"/>
      <c r="M73" t="str">
        <f t="shared" si="3"/>
        <v>(3072, 'Hypo (Creatinine)', 3070, 'Creatinine', '100', 'Gender', '["Man"]', NULL, 0.7, NULL, 1, 'Raminder Ahlawat'),</v>
      </c>
      <c r="N73"/>
      <c r="O73" t="str">
        <f t="shared" si="4"/>
        <v>update TEST_RESULT set LBOUND = NULL, UBOUND = 0.7 WHERE ID = 3072;</v>
      </c>
      <c r="P73"/>
      <c r="Q73"/>
      <c r="R73"/>
      <c r="S73"/>
      <c r="T73"/>
      <c r="U73"/>
      <c r="V73"/>
      <c r="W73"/>
      <c r="X73"/>
      <c r="Y73"/>
      <c r="Z73"/>
      <c r="AA73"/>
      <c r="AB73"/>
      <c r="AC73"/>
      <c r="AD73"/>
      <c r="AE73"/>
      <c r="AF73"/>
      <c r="AG73"/>
      <c r="AH73"/>
      <c r="AI73"/>
      <c r="AJ73"/>
      <c r="AK73"/>
    </row>
    <row r="74" spans="1:37" s="80" customFormat="1" x14ac:dyDescent="0.35">
      <c r="A74" s="80">
        <f>A73+1</f>
        <v>3073</v>
      </c>
      <c r="B74" s="80" t="s">
        <v>1026</v>
      </c>
      <c r="C74" s="80">
        <v>3070</v>
      </c>
      <c r="D74" s="80" t="s">
        <v>938</v>
      </c>
      <c r="E74" s="80">
        <v>100</v>
      </c>
      <c r="F74" s="80" t="s">
        <v>171</v>
      </c>
      <c r="G74" s="80" t="s">
        <v>961</v>
      </c>
      <c r="I74" s="80">
        <v>0.5</v>
      </c>
      <c r="K74" s="80">
        <v>1</v>
      </c>
      <c r="L74"/>
      <c r="M74" t="str">
        <f t="shared" si="3"/>
        <v>(3073, 'Hypo (Creatinine)', 3070, 'Creatinine', '100', 'Gender', '["Woman"]', NULL, 0.5, NULL, 1, 'Raminder Ahlawat'),</v>
      </c>
      <c r="N74"/>
      <c r="O74" t="str">
        <f t="shared" si="4"/>
        <v>update TEST_RESULT set LBOUND = NULL, UBOUND = 0.5 WHERE ID = 3073;</v>
      </c>
      <c r="P74"/>
      <c r="Q74"/>
      <c r="R74"/>
      <c r="S74"/>
      <c r="T74"/>
      <c r="U74"/>
      <c r="V74"/>
      <c r="W74"/>
      <c r="X74"/>
      <c r="Y74"/>
      <c r="Z74"/>
      <c r="AA74"/>
      <c r="AB74"/>
      <c r="AC74"/>
      <c r="AD74"/>
      <c r="AE74"/>
      <c r="AF74"/>
      <c r="AG74"/>
      <c r="AH74"/>
      <c r="AI74"/>
      <c r="AJ74"/>
      <c r="AK74"/>
    </row>
    <row r="75" spans="1:37" s="80" customFormat="1" x14ac:dyDescent="0.35">
      <c r="A75" s="80">
        <f t="shared" ref="A75:A80" si="5">A59+1</f>
        <v>3081</v>
      </c>
      <c r="B75" s="80" t="s">
        <v>1027</v>
      </c>
      <c r="C75" s="80">
        <v>3080</v>
      </c>
      <c r="D75" s="80" t="s">
        <v>939</v>
      </c>
      <c r="G75" s="81"/>
      <c r="I75" s="80">
        <v>3.5</v>
      </c>
      <c r="K75" s="80">
        <v>1</v>
      </c>
      <c r="L75"/>
      <c r="M75" t="str">
        <f t="shared" si="3"/>
        <v>(3081, 'Hypo (Albumin)', 3080, 'Albumin', '', '', '', NULL, 3.5, NULL, 1, 'Raminder Ahlawat'),</v>
      </c>
      <c r="N75"/>
      <c r="O75" t="str">
        <f t="shared" si="4"/>
        <v>update TEST_RESULT set LBOUND = NULL, UBOUND = 3.5 WHERE ID = 3081;</v>
      </c>
      <c r="P75"/>
      <c r="Q75"/>
      <c r="R75"/>
      <c r="S75"/>
      <c r="T75"/>
      <c r="U75"/>
      <c r="V75"/>
      <c r="W75"/>
      <c r="X75"/>
      <c r="Y75"/>
      <c r="Z75"/>
      <c r="AA75"/>
      <c r="AB75"/>
      <c r="AC75"/>
      <c r="AD75"/>
      <c r="AE75"/>
      <c r="AF75"/>
      <c r="AG75"/>
      <c r="AH75"/>
      <c r="AI75"/>
      <c r="AJ75"/>
      <c r="AK75"/>
    </row>
    <row r="76" spans="1:37" s="80" customFormat="1" x14ac:dyDescent="0.35">
      <c r="A76" s="80">
        <f t="shared" si="5"/>
        <v>3091</v>
      </c>
      <c r="B76" s="80" t="s">
        <v>1028</v>
      </c>
      <c r="C76" s="80">
        <v>3090</v>
      </c>
      <c r="D76" s="80" t="s">
        <v>954</v>
      </c>
      <c r="G76" s="81"/>
      <c r="I76" s="80">
        <v>5.5</v>
      </c>
      <c r="K76" s="80">
        <v>1</v>
      </c>
      <c r="L76"/>
      <c r="M76" t="str">
        <f t="shared" si="3"/>
        <v>(3091, 'Hypo (Total Protein)', 3090, 'Total Protein', '', '', '', NULL, 5.5, NULL, 1, 'Raminder Ahlawat'),</v>
      </c>
      <c r="N76"/>
      <c r="O76" t="str">
        <f t="shared" si="4"/>
        <v>update TEST_RESULT set LBOUND = NULL, UBOUND = 5.5 WHERE ID = 3091;</v>
      </c>
      <c r="P76"/>
      <c r="Q76"/>
      <c r="R76"/>
      <c r="S76"/>
      <c r="T76"/>
      <c r="U76"/>
      <c r="V76"/>
      <c r="W76"/>
      <c r="X76"/>
      <c r="Y76"/>
      <c r="Z76"/>
      <c r="AA76"/>
      <c r="AB76"/>
      <c r="AC76"/>
      <c r="AD76"/>
      <c r="AE76"/>
      <c r="AF76"/>
      <c r="AG76"/>
      <c r="AH76"/>
      <c r="AI76"/>
      <c r="AJ76"/>
      <c r="AK76"/>
    </row>
    <row r="77" spans="1:37" s="80" customFormat="1" x14ac:dyDescent="0.35">
      <c r="A77" s="80">
        <f t="shared" si="5"/>
        <v>3101</v>
      </c>
      <c r="B77" s="80" t="s">
        <v>1029</v>
      </c>
      <c r="C77" s="80">
        <v>3100</v>
      </c>
      <c r="D77" s="80" t="s">
        <v>940</v>
      </c>
      <c r="G77" s="81"/>
      <c r="I77" s="80">
        <v>30</v>
      </c>
      <c r="K77" s="80">
        <v>1</v>
      </c>
      <c r="L77"/>
      <c r="M77" t="str">
        <f t="shared" si="3"/>
        <v>(3101, 'Hypo (Alkaline Phosphatase (ALP))', 3100, 'Alkaline Phosphatase (ALP)', '', '', '', NULL, 30, NULL, 1, 'Raminder Ahlawat'),</v>
      </c>
      <c r="N77"/>
      <c r="O77" t="str">
        <f t="shared" si="4"/>
        <v>update TEST_RESULT set LBOUND = NULL, UBOUND = 30 WHERE ID = 3101;</v>
      </c>
      <c r="P77"/>
      <c r="Q77"/>
      <c r="R77"/>
      <c r="S77"/>
      <c r="T77"/>
      <c r="U77"/>
      <c r="V77"/>
      <c r="W77"/>
      <c r="X77"/>
      <c r="Y77"/>
      <c r="Z77"/>
      <c r="AA77"/>
      <c r="AB77"/>
      <c r="AC77"/>
      <c r="AD77"/>
      <c r="AE77"/>
      <c r="AF77"/>
      <c r="AG77"/>
      <c r="AH77"/>
      <c r="AI77"/>
      <c r="AJ77"/>
      <c r="AK77"/>
    </row>
    <row r="78" spans="1:37" s="80" customFormat="1" x14ac:dyDescent="0.35">
      <c r="A78" s="80">
        <f t="shared" si="5"/>
        <v>3111</v>
      </c>
      <c r="B78" s="80" t="s">
        <v>1030</v>
      </c>
      <c r="C78" s="80">
        <v>3110</v>
      </c>
      <c r="D78" s="80" t="s">
        <v>941</v>
      </c>
      <c r="G78" s="81"/>
      <c r="I78" s="80">
        <v>4</v>
      </c>
      <c r="K78" s="80">
        <v>1</v>
      </c>
      <c r="L78"/>
      <c r="M78" t="str">
        <f t="shared" si="3"/>
        <v>(3111, 'Hypo (Alanine Aminotransferase (ALT))', 3110, 'Alanine Aminotransferase (ALT)', '', '', '', NULL, 4, NULL, 1, 'Raminder Ahlawat'),</v>
      </c>
      <c r="N78"/>
      <c r="O78" t="str">
        <f t="shared" si="4"/>
        <v>update TEST_RESULT set LBOUND = NULL, UBOUND = 4 WHERE ID = 3111;</v>
      </c>
      <c r="P78"/>
      <c r="Q78"/>
      <c r="R78"/>
      <c r="S78"/>
      <c r="T78"/>
      <c r="U78"/>
      <c r="V78"/>
      <c r="W78"/>
      <c r="X78"/>
      <c r="Y78"/>
      <c r="Z78"/>
      <c r="AA78"/>
      <c r="AB78"/>
      <c r="AC78"/>
      <c r="AD78"/>
      <c r="AE78"/>
      <c r="AF78"/>
      <c r="AG78"/>
      <c r="AH78"/>
      <c r="AI78"/>
      <c r="AJ78"/>
      <c r="AK78"/>
    </row>
    <row r="79" spans="1:37" s="80" customFormat="1" x14ac:dyDescent="0.35">
      <c r="A79" s="80">
        <f t="shared" si="5"/>
        <v>3121</v>
      </c>
      <c r="B79" s="80" t="s">
        <v>1031</v>
      </c>
      <c r="C79" s="80">
        <v>3120</v>
      </c>
      <c r="D79" s="80" t="s">
        <v>942</v>
      </c>
      <c r="G79" s="81"/>
      <c r="I79" s="80">
        <v>8</v>
      </c>
      <c r="K79" s="80">
        <v>1</v>
      </c>
      <c r="L79"/>
      <c r="M79" t="str">
        <f t="shared" si="3"/>
        <v>(3121, 'Hypo (Aspartate Aminotransferase (AST))', 3120, 'Aspartate Aminotransferase (AST)', '', '', '', NULL, 8, NULL, 1, 'Raminder Ahlawat'),</v>
      </c>
      <c r="N79"/>
      <c r="O79" t="str">
        <f t="shared" si="4"/>
        <v>update TEST_RESULT set LBOUND = NULL, UBOUND = 8 WHERE ID = 3121;</v>
      </c>
      <c r="P79"/>
      <c r="Q79"/>
      <c r="R79"/>
      <c r="S79"/>
      <c r="T79"/>
      <c r="U79"/>
      <c r="V79"/>
      <c r="W79"/>
      <c r="X79"/>
      <c r="Y79"/>
      <c r="Z79"/>
      <c r="AA79"/>
      <c r="AB79"/>
      <c r="AC79"/>
      <c r="AD79"/>
      <c r="AE79"/>
      <c r="AF79"/>
      <c r="AG79"/>
      <c r="AH79"/>
      <c r="AI79"/>
      <c r="AJ79"/>
      <c r="AK79"/>
    </row>
    <row r="80" spans="1:37" s="80" customFormat="1" x14ac:dyDescent="0.35">
      <c r="A80" s="80">
        <f t="shared" si="5"/>
        <v>3131</v>
      </c>
      <c r="B80" s="80" t="s">
        <v>1032</v>
      </c>
      <c r="C80" s="80">
        <v>3130</v>
      </c>
      <c r="D80" s="80" t="s">
        <v>943</v>
      </c>
      <c r="G80" s="81"/>
      <c r="I80" s="80">
        <v>0.3</v>
      </c>
      <c r="K80" s="80">
        <v>1</v>
      </c>
      <c r="L80"/>
      <c r="M80" t="str">
        <f t="shared" si="3"/>
        <v>(3131, 'Hypo (Bilirubin)', 3130, 'Bilirubin', '', '', '', NULL, 0.3, NULL, 1, 'Raminder Ahlawat'),</v>
      </c>
      <c r="N80"/>
      <c r="O80" t="str">
        <f t="shared" si="4"/>
        <v>update TEST_RESULT set LBOUND = NULL, UBOUND = 0.3 WHERE ID = 3131;</v>
      </c>
      <c r="P80"/>
      <c r="Q80"/>
      <c r="R80"/>
      <c r="S80"/>
      <c r="T80"/>
      <c r="U80"/>
      <c r="V80"/>
      <c r="W80"/>
      <c r="X80"/>
      <c r="Y80"/>
      <c r="Z80"/>
      <c r="AA80"/>
      <c r="AB80"/>
      <c r="AC80"/>
      <c r="AD80"/>
      <c r="AE80"/>
      <c r="AF80"/>
      <c r="AG80"/>
      <c r="AH80"/>
      <c r="AI80"/>
      <c r="AJ80"/>
      <c r="AK80"/>
    </row>
    <row r="81" spans="1:37" s="80" customFormat="1" x14ac:dyDescent="0.35">
      <c r="A81" s="80">
        <v>3141</v>
      </c>
      <c r="B81" s="80" t="s">
        <v>1068</v>
      </c>
      <c r="C81" s="80">
        <v>3140</v>
      </c>
      <c r="D81" s="80" t="s">
        <v>1065</v>
      </c>
      <c r="G81" s="81"/>
      <c r="I81" s="80">
        <v>2.6</v>
      </c>
      <c r="K81" s="80">
        <v>1</v>
      </c>
      <c r="L81"/>
      <c r="M81" t="str">
        <f t="shared" si="3"/>
        <v>(3141, 'Hypo (Insulin)', 3140, 'Insulin', '', '', '', NULL, 2.6, NULL, 1, 'Raminder Ahlawat'),</v>
      </c>
      <c r="N81"/>
      <c r="O81" t="str">
        <f t="shared" si="4"/>
        <v>update TEST_RESULT set LBOUND = NULL, UBOUND = 2.6 WHERE ID = 3141;</v>
      </c>
      <c r="P81"/>
      <c r="Q81"/>
      <c r="R81"/>
      <c r="S81"/>
      <c r="T81"/>
      <c r="U81"/>
      <c r="V81"/>
      <c r="W81"/>
      <c r="X81"/>
      <c r="Y81"/>
      <c r="Z81"/>
      <c r="AA81"/>
      <c r="AB81"/>
      <c r="AC81"/>
      <c r="AD81"/>
      <c r="AE81"/>
      <c r="AF81"/>
      <c r="AG81"/>
      <c r="AH81"/>
      <c r="AI81"/>
      <c r="AJ81"/>
      <c r="AK81"/>
    </row>
    <row r="82" spans="1:37" s="80" customFormat="1" x14ac:dyDescent="0.35">
      <c r="A82" s="80">
        <f t="shared" ref="A82:A88" si="6">A66+1</f>
        <v>3002</v>
      </c>
      <c r="B82" s="80" t="s">
        <v>1005</v>
      </c>
      <c r="C82" s="80">
        <v>3000</v>
      </c>
      <c r="D82" s="80" t="s">
        <v>932</v>
      </c>
      <c r="G82" s="81"/>
      <c r="H82" s="80">
        <v>2.5499999999999998</v>
      </c>
      <c r="K82" s="80">
        <v>1</v>
      </c>
      <c r="L82"/>
      <c r="M82" t="str">
        <f t="shared" si="3"/>
        <v>(3002, 'Hyper (Calcium)', 3000, 'Calcium', '', '', '', 2.55, NULL, NULL, 1, 'Raminder Ahlawat'),</v>
      </c>
      <c r="N82"/>
      <c r="O82" t="str">
        <f t="shared" si="4"/>
        <v>update TEST_RESULT set LBOUND = 2.55, UBOUND = NULL WHERE ID = 3002;</v>
      </c>
      <c r="P82"/>
      <c r="Q82"/>
      <c r="R82"/>
      <c r="S82"/>
      <c r="T82"/>
      <c r="U82"/>
      <c r="V82"/>
      <c r="W82"/>
      <c r="X82"/>
      <c r="Y82"/>
      <c r="Z82"/>
      <c r="AA82"/>
      <c r="AB82"/>
      <c r="AC82"/>
      <c r="AD82"/>
      <c r="AE82"/>
      <c r="AF82"/>
      <c r="AG82"/>
      <c r="AH82"/>
      <c r="AI82"/>
      <c r="AJ82"/>
      <c r="AK82"/>
    </row>
    <row r="83" spans="1:37" s="80" customFormat="1" x14ac:dyDescent="0.35">
      <c r="A83" s="80">
        <f t="shared" si="6"/>
        <v>3012</v>
      </c>
      <c r="B83" s="80" t="s">
        <v>1006</v>
      </c>
      <c r="C83" s="80">
        <v>3010</v>
      </c>
      <c r="D83" s="80" t="s">
        <v>58</v>
      </c>
      <c r="G83" s="81"/>
      <c r="H83" s="80">
        <v>110</v>
      </c>
      <c r="K83" s="80">
        <v>1</v>
      </c>
      <c r="L83"/>
      <c r="M83" t="str">
        <f t="shared" si="3"/>
        <v>(3012, 'Hyper (Glucose fasting)', 3010, 'Glucose', '', '', '', 110, NULL, NULL, 1, 'Raminder Ahlawat'),</v>
      </c>
      <c r="N83"/>
      <c r="O83" t="str">
        <f t="shared" si="4"/>
        <v>update TEST_RESULT set LBOUND = 110, UBOUND = NULL WHERE ID = 3012;</v>
      </c>
      <c r="P83"/>
      <c r="Q83"/>
      <c r="R83"/>
      <c r="S83"/>
      <c r="T83"/>
      <c r="U83"/>
      <c r="V83"/>
      <c r="W83"/>
      <c r="X83"/>
      <c r="Y83"/>
      <c r="Z83"/>
      <c r="AA83"/>
      <c r="AB83"/>
      <c r="AC83"/>
      <c r="AD83"/>
      <c r="AE83"/>
      <c r="AF83"/>
      <c r="AG83"/>
      <c r="AH83"/>
      <c r="AI83"/>
      <c r="AJ83"/>
      <c r="AK83"/>
    </row>
    <row r="84" spans="1:37" s="80" customFormat="1" x14ac:dyDescent="0.35">
      <c r="A84" s="80">
        <f t="shared" si="6"/>
        <v>3022</v>
      </c>
      <c r="B84" s="80" t="s">
        <v>1007</v>
      </c>
      <c r="C84" s="80">
        <v>3020</v>
      </c>
      <c r="D84" s="80" t="s">
        <v>933</v>
      </c>
      <c r="G84" s="81"/>
      <c r="H84" s="80">
        <v>145</v>
      </c>
      <c r="K84" s="80">
        <v>1</v>
      </c>
      <c r="L84"/>
      <c r="M84" t="str">
        <f t="shared" si="3"/>
        <v>(3022, 'Hyper (Sodium)', 3020, 'Sodium', '', '', '', 145, NULL, NULL, 1, 'Raminder Ahlawat'),</v>
      </c>
      <c r="N84"/>
      <c r="O84" t="str">
        <f t="shared" si="4"/>
        <v>update TEST_RESULT set LBOUND = 145, UBOUND = NULL WHERE ID = 3022;</v>
      </c>
      <c r="P84"/>
      <c r="Q84"/>
      <c r="R84"/>
      <c r="S84"/>
      <c r="T84"/>
      <c r="U84"/>
      <c r="V84"/>
      <c r="W84"/>
      <c r="X84"/>
      <c r="Y84"/>
      <c r="Z84"/>
      <c r="AA84"/>
      <c r="AB84"/>
      <c r="AC84"/>
      <c r="AD84"/>
      <c r="AE84"/>
      <c r="AF84"/>
      <c r="AG84"/>
      <c r="AH84"/>
      <c r="AI84"/>
      <c r="AJ84"/>
      <c r="AK84"/>
    </row>
    <row r="85" spans="1:37" s="80" customFormat="1" x14ac:dyDescent="0.35">
      <c r="A85" s="80">
        <f t="shared" si="6"/>
        <v>3032</v>
      </c>
      <c r="B85" s="80" t="s">
        <v>1008</v>
      </c>
      <c r="C85" s="80">
        <v>3030</v>
      </c>
      <c r="D85" s="80" t="s">
        <v>934</v>
      </c>
      <c r="G85" s="81"/>
      <c r="H85" s="80">
        <v>5</v>
      </c>
      <c r="K85" s="80">
        <v>1</v>
      </c>
      <c r="L85"/>
      <c r="M85" t="str">
        <f t="shared" si="3"/>
        <v>(3032, 'Hyper (Potassium)', 3030, 'Potassium', '', '', '', 5, NULL, NULL, 1, 'Raminder Ahlawat'),</v>
      </c>
      <c r="N85"/>
      <c r="O85" t="str">
        <f t="shared" si="4"/>
        <v>update TEST_RESULT set LBOUND = 5, UBOUND = NULL WHERE ID = 3032;</v>
      </c>
      <c r="P85"/>
      <c r="Q85"/>
      <c r="R85"/>
      <c r="S85"/>
      <c r="T85"/>
      <c r="U85"/>
      <c r="V85"/>
      <c r="W85"/>
      <c r="X85"/>
      <c r="Y85"/>
      <c r="Z85"/>
      <c r="AA85"/>
      <c r="AB85"/>
      <c r="AC85"/>
      <c r="AD85"/>
      <c r="AE85"/>
      <c r="AF85"/>
      <c r="AG85"/>
      <c r="AH85"/>
      <c r="AI85"/>
      <c r="AJ85"/>
      <c r="AK85"/>
    </row>
    <row r="86" spans="1:37" s="80" customFormat="1" x14ac:dyDescent="0.35">
      <c r="A86" s="80">
        <f t="shared" si="6"/>
        <v>3042</v>
      </c>
      <c r="B86" s="80" t="s">
        <v>1009</v>
      </c>
      <c r="C86" s="80">
        <v>3040</v>
      </c>
      <c r="D86" s="80" t="s">
        <v>935</v>
      </c>
      <c r="G86" s="81"/>
      <c r="H86" s="80">
        <v>29</v>
      </c>
      <c r="K86" s="80">
        <v>1</v>
      </c>
      <c r="L86"/>
      <c r="M86" t="str">
        <f t="shared" si="3"/>
        <v>(3042, 'Hyper (Bicarbonate)', 3040, 'Bicarbonate', '', '', '', 29, NULL, NULL, 1, 'Raminder Ahlawat'),</v>
      </c>
      <c r="N86"/>
      <c r="O86" t="str">
        <f t="shared" si="4"/>
        <v>update TEST_RESULT set LBOUND = 29, UBOUND = NULL WHERE ID = 3042;</v>
      </c>
      <c r="P86"/>
      <c r="Q86"/>
      <c r="R86"/>
      <c r="S86"/>
      <c r="T86"/>
      <c r="U86"/>
      <c r="V86"/>
      <c r="W86"/>
      <c r="X86"/>
      <c r="Y86"/>
      <c r="Z86"/>
      <c r="AA86"/>
      <c r="AB86"/>
      <c r="AC86"/>
      <c r="AD86"/>
      <c r="AE86"/>
      <c r="AF86"/>
      <c r="AG86"/>
      <c r="AH86"/>
      <c r="AI86"/>
      <c r="AJ86"/>
      <c r="AK86"/>
    </row>
    <row r="87" spans="1:37" s="80" customFormat="1" x14ac:dyDescent="0.35">
      <c r="A87" s="80">
        <f t="shared" si="6"/>
        <v>3052</v>
      </c>
      <c r="B87" s="80" t="s">
        <v>1010</v>
      </c>
      <c r="C87" s="80">
        <v>3050</v>
      </c>
      <c r="D87" s="80" t="s">
        <v>936</v>
      </c>
      <c r="G87" s="81"/>
      <c r="H87" s="80">
        <v>106</v>
      </c>
      <c r="K87" s="80">
        <v>1</v>
      </c>
      <c r="L87"/>
      <c r="M87" t="str">
        <f t="shared" si="3"/>
        <v>(3052, 'Hyper (Chloride)', 3050, 'Chloride', '', '', '', 106, NULL, NULL, 1, 'Raminder Ahlawat'),</v>
      </c>
      <c r="N87"/>
      <c r="O87" t="str">
        <f t="shared" si="4"/>
        <v>update TEST_RESULT set LBOUND = 106, UBOUND = NULL WHERE ID = 3052;</v>
      </c>
      <c r="P87"/>
      <c r="Q87"/>
      <c r="R87"/>
      <c r="S87"/>
      <c r="T87"/>
      <c r="U87"/>
      <c r="V87"/>
      <c r="W87"/>
      <c r="X87"/>
      <c r="Y87"/>
      <c r="Z87"/>
      <c r="AA87"/>
      <c r="AB87"/>
      <c r="AC87"/>
      <c r="AD87"/>
      <c r="AE87"/>
      <c r="AF87"/>
      <c r="AG87"/>
      <c r="AH87"/>
      <c r="AI87"/>
      <c r="AJ87"/>
      <c r="AK87"/>
    </row>
    <row r="88" spans="1:37" s="80" customFormat="1" x14ac:dyDescent="0.35">
      <c r="A88" s="80">
        <f t="shared" si="6"/>
        <v>3062</v>
      </c>
      <c r="B88" s="80" t="s">
        <v>1011</v>
      </c>
      <c r="C88" s="80">
        <v>3060</v>
      </c>
      <c r="D88" s="80" t="s">
        <v>937</v>
      </c>
      <c r="G88" s="81"/>
      <c r="H88" s="80">
        <v>20</v>
      </c>
      <c r="K88" s="80">
        <v>1</v>
      </c>
      <c r="L88"/>
      <c r="M88" t="str">
        <f t="shared" si="3"/>
        <v>(3062, 'Hyper (Blood Urea Nitrogen (BUN))', 3060, 'Blood Urea Nitrogen (BUN)', '', '', '', 20, NULL, NULL, 1, 'Raminder Ahlawat'),</v>
      </c>
      <c r="N88"/>
      <c r="O88" t="str">
        <f t="shared" si="4"/>
        <v>update TEST_RESULT set LBOUND = 20, UBOUND = NULL WHERE ID = 3062;</v>
      </c>
      <c r="P88"/>
      <c r="Q88"/>
      <c r="R88"/>
      <c r="S88"/>
      <c r="T88"/>
      <c r="U88"/>
      <c r="V88"/>
      <c r="W88"/>
      <c r="X88"/>
      <c r="Y88"/>
      <c r="Z88"/>
      <c r="AA88"/>
      <c r="AB88"/>
      <c r="AC88"/>
      <c r="AD88"/>
      <c r="AE88"/>
      <c r="AF88"/>
      <c r="AG88"/>
      <c r="AH88"/>
      <c r="AI88"/>
      <c r="AJ88"/>
      <c r="AK88"/>
    </row>
    <row r="89" spans="1:37" s="80" customFormat="1" x14ac:dyDescent="0.35">
      <c r="A89" s="80">
        <f>A74+1</f>
        <v>3074</v>
      </c>
      <c r="B89" s="80" t="s">
        <v>1012</v>
      </c>
      <c r="C89" s="80">
        <v>3070</v>
      </c>
      <c r="D89" s="80" t="s">
        <v>938</v>
      </c>
      <c r="E89" s="80">
        <v>100</v>
      </c>
      <c r="F89" s="80" t="s">
        <v>171</v>
      </c>
      <c r="G89" s="80" t="s">
        <v>960</v>
      </c>
      <c r="H89" s="80">
        <v>1.3</v>
      </c>
      <c r="K89" s="80">
        <v>1</v>
      </c>
      <c r="L89"/>
      <c r="M89" t="str">
        <f t="shared" si="3"/>
        <v>(3074, 'Hyper (Creatinine)', 3070, 'Creatinine', '100', 'Gender', '["Man"]', 1.3, NULL, NULL, 1, 'Raminder Ahlawat'),</v>
      </c>
      <c r="N89"/>
      <c r="O89" t="str">
        <f t="shared" si="4"/>
        <v>update TEST_RESULT set LBOUND = 1.3, UBOUND = NULL WHERE ID = 3074;</v>
      </c>
      <c r="P89"/>
      <c r="Q89"/>
      <c r="R89"/>
      <c r="S89"/>
      <c r="T89"/>
      <c r="U89"/>
      <c r="V89"/>
      <c r="W89"/>
      <c r="X89"/>
      <c r="Y89"/>
      <c r="Z89"/>
      <c r="AA89"/>
      <c r="AB89"/>
      <c r="AC89"/>
      <c r="AD89"/>
      <c r="AE89"/>
      <c r="AF89"/>
      <c r="AG89"/>
      <c r="AH89"/>
      <c r="AI89"/>
      <c r="AJ89"/>
      <c r="AK89"/>
    </row>
    <row r="90" spans="1:37" s="80" customFormat="1" x14ac:dyDescent="0.35">
      <c r="A90" s="80">
        <f>A89+1</f>
        <v>3075</v>
      </c>
      <c r="B90" s="80" t="s">
        <v>1012</v>
      </c>
      <c r="C90" s="80">
        <v>3070</v>
      </c>
      <c r="D90" s="80" t="s">
        <v>938</v>
      </c>
      <c r="E90" s="80">
        <v>100</v>
      </c>
      <c r="F90" s="80" t="s">
        <v>171</v>
      </c>
      <c r="G90" s="80" t="s">
        <v>961</v>
      </c>
      <c r="H90" s="80">
        <v>1.1000000000000001</v>
      </c>
      <c r="K90" s="80">
        <v>1</v>
      </c>
      <c r="L90"/>
      <c r="M90" t="str">
        <f t="shared" si="3"/>
        <v>(3075, 'Hyper (Creatinine)', 3070, 'Creatinine', '100', 'Gender', '["Woman"]', 1.1, NULL, NULL, 1, 'Raminder Ahlawat'),</v>
      </c>
      <c r="N90"/>
      <c r="O90" t="str">
        <f t="shared" si="4"/>
        <v>update TEST_RESULT set LBOUND = 1.1, UBOUND = NULL WHERE ID = 3075;</v>
      </c>
      <c r="P90"/>
      <c r="Q90"/>
      <c r="R90"/>
      <c r="S90"/>
      <c r="T90"/>
      <c r="U90"/>
      <c r="V90"/>
      <c r="W90"/>
      <c r="X90"/>
      <c r="Y90"/>
      <c r="Z90"/>
      <c r="AA90"/>
      <c r="AB90"/>
      <c r="AC90"/>
      <c r="AD90"/>
      <c r="AE90"/>
      <c r="AF90"/>
      <c r="AG90"/>
      <c r="AH90"/>
      <c r="AI90"/>
      <c r="AJ90"/>
      <c r="AK90"/>
    </row>
    <row r="91" spans="1:37" s="80" customFormat="1" x14ac:dyDescent="0.35">
      <c r="A91" s="80">
        <f t="shared" ref="A91:A96" si="7">A75+1</f>
        <v>3082</v>
      </c>
      <c r="B91" s="80" t="s">
        <v>1013</v>
      </c>
      <c r="C91" s="80">
        <v>3080</v>
      </c>
      <c r="D91" s="80" t="s">
        <v>939</v>
      </c>
      <c r="G91" s="81"/>
      <c r="H91" s="80">
        <v>5.5</v>
      </c>
      <c r="K91" s="80">
        <v>1</v>
      </c>
      <c r="L91"/>
      <c r="M91" t="str">
        <f t="shared" si="3"/>
        <v>(3082, 'Hyper (Albumin)', 3080, 'Albumin', '', '', '', 5.5, NULL, NULL, 1, 'Raminder Ahlawat'),</v>
      </c>
      <c r="N91"/>
      <c r="O91" t="str">
        <f t="shared" si="4"/>
        <v>update TEST_RESULT set LBOUND = 5.5, UBOUND = NULL WHERE ID = 3082;</v>
      </c>
      <c r="P91"/>
      <c r="Q91"/>
      <c r="R91"/>
      <c r="S91"/>
      <c r="T91"/>
      <c r="U91"/>
      <c r="V91"/>
      <c r="W91"/>
      <c r="X91"/>
      <c r="Y91"/>
      <c r="Z91"/>
      <c r="AA91"/>
      <c r="AB91"/>
      <c r="AC91"/>
      <c r="AD91"/>
      <c r="AE91"/>
      <c r="AF91"/>
      <c r="AG91"/>
      <c r="AH91"/>
      <c r="AI91"/>
      <c r="AJ91"/>
      <c r="AK91"/>
    </row>
    <row r="92" spans="1:37" s="80" customFormat="1" x14ac:dyDescent="0.35">
      <c r="A92" s="80">
        <f t="shared" si="7"/>
        <v>3092</v>
      </c>
      <c r="B92" s="80" t="s">
        <v>1014</v>
      </c>
      <c r="C92" s="80">
        <v>3090</v>
      </c>
      <c r="D92" s="80" t="s">
        <v>954</v>
      </c>
      <c r="G92" s="81"/>
      <c r="H92" s="80">
        <v>9</v>
      </c>
      <c r="K92" s="80">
        <v>1</v>
      </c>
      <c r="L92"/>
      <c r="M92" t="str">
        <f t="shared" si="3"/>
        <v>(3092, 'Hyper (Total Protein)', 3090, 'Total Protein', '', '', '', 9, NULL, NULL, 1, 'Raminder Ahlawat'),</v>
      </c>
      <c r="N92"/>
      <c r="O92" t="str">
        <f t="shared" si="4"/>
        <v>update TEST_RESULT set LBOUND = 9, UBOUND = NULL WHERE ID = 3092;</v>
      </c>
      <c r="P92"/>
      <c r="Q92"/>
      <c r="R92"/>
      <c r="S92"/>
      <c r="T92"/>
      <c r="U92"/>
      <c r="V92"/>
      <c r="W92"/>
      <c r="X92"/>
      <c r="Y92"/>
      <c r="Z92"/>
      <c r="AA92"/>
      <c r="AB92"/>
      <c r="AC92"/>
      <c r="AD92"/>
      <c r="AE92"/>
      <c r="AF92"/>
      <c r="AG92"/>
      <c r="AH92"/>
      <c r="AI92"/>
      <c r="AJ92"/>
      <c r="AK92"/>
    </row>
    <row r="93" spans="1:37" s="80" customFormat="1" x14ac:dyDescent="0.35">
      <c r="A93" s="80">
        <f t="shared" si="7"/>
        <v>3102</v>
      </c>
      <c r="B93" s="80" t="s">
        <v>1015</v>
      </c>
      <c r="C93" s="80">
        <v>3100</v>
      </c>
      <c r="D93" s="80" t="s">
        <v>940</v>
      </c>
      <c r="G93" s="81"/>
      <c r="H93" s="80">
        <v>120</v>
      </c>
      <c r="K93" s="80">
        <v>1</v>
      </c>
      <c r="L93"/>
      <c r="M93" t="str">
        <f t="shared" si="3"/>
        <v>(3102, 'Hyper (Alkaline Phosphatase (ALP))', 3100, 'Alkaline Phosphatase (ALP)', '', '', '', 120, NULL, NULL, 1, 'Raminder Ahlawat'),</v>
      </c>
      <c r="N93"/>
      <c r="O93" t="str">
        <f t="shared" si="4"/>
        <v>update TEST_RESULT set LBOUND = 120, UBOUND = NULL WHERE ID = 3102;</v>
      </c>
      <c r="P93"/>
      <c r="Q93"/>
      <c r="R93"/>
      <c r="S93"/>
      <c r="T93"/>
      <c r="U93"/>
      <c r="V93"/>
      <c r="W93"/>
      <c r="X93"/>
      <c r="Y93"/>
      <c r="Z93"/>
      <c r="AA93"/>
      <c r="AB93"/>
      <c r="AC93"/>
      <c r="AD93"/>
      <c r="AE93"/>
      <c r="AF93"/>
      <c r="AG93"/>
      <c r="AH93"/>
      <c r="AI93"/>
      <c r="AJ93"/>
      <c r="AK93"/>
    </row>
    <row r="94" spans="1:37" s="80" customFormat="1" x14ac:dyDescent="0.35">
      <c r="A94" s="80">
        <f t="shared" si="7"/>
        <v>3112</v>
      </c>
      <c r="B94" s="80" t="s">
        <v>1016</v>
      </c>
      <c r="C94" s="80">
        <v>3110</v>
      </c>
      <c r="D94" s="80" t="s">
        <v>941</v>
      </c>
      <c r="G94" s="81"/>
      <c r="H94" s="80">
        <v>36</v>
      </c>
      <c r="K94" s="80">
        <v>1</v>
      </c>
      <c r="L94"/>
      <c r="M94" t="str">
        <f t="shared" si="3"/>
        <v>(3112, 'Hyper (Alanine Aminotransferase (ALT))', 3110, 'Alanine Aminotransferase (ALT)', '', '', '', 36, NULL, NULL, 1, 'Raminder Ahlawat'),</v>
      </c>
      <c r="N94"/>
      <c r="O94" t="str">
        <f t="shared" si="4"/>
        <v>update TEST_RESULT set LBOUND = 36, UBOUND = NULL WHERE ID = 3112;</v>
      </c>
      <c r="P94"/>
      <c r="Q94"/>
      <c r="R94"/>
      <c r="S94"/>
      <c r="T94"/>
      <c r="U94"/>
      <c r="V94"/>
      <c r="W94"/>
      <c r="X94"/>
      <c r="Y94"/>
      <c r="Z94"/>
      <c r="AA94"/>
      <c r="AB94"/>
      <c r="AC94"/>
      <c r="AD94"/>
      <c r="AE94"/>
      <c r="AF94"/>
      <c r="AG94"/>
      <c r="AH94"/>
      <c r="AI94"/>
      <c r="AJ94"/>
      <c r="AK94"/>
    </row>
    <row r="95" spans="1:37" s="80" customFormat="1" x14ac:dyDescent="0.35">
      <c r="A95" s="80">
        <f t="shared" si="7"/>
        <v>3122</v>
      </c>
      <c r="B95" s="80" t="s">
        <v>1017</v>
      </c>
      <c r="C95" s="80">
        <v>3120</v>
      </c>
      <c r="D95" s="80" t="s">
        <v>942</v>
      </c>
      <c r="G95" s="81"/>
      <c r="H95" s="80">
        <v>33</v>
      </c>
      <c r="K95" s="80">
        <v>1</v>
      </c>
      <c r="L95"/>
      <c r="M95" t="str">
        <f t="shared" si="3"/>
        <v>(3122, 'Hyper (Aspartate Aminotransferase (AST))', 3120, 'Aspartate Aminotransferase (AST)', '', '', '', 33, NULL, NULL, 1, 'Raminder Ahlawat'),</v>
      </c>
      <c r="N95"/>
      <c r="O95" t="str">
        <f t="shared" si="4"/>
        <v>update TEST_RESULT set LBOUND = 33, UBOUND = NULL WHERE ID = 3122;</v>
      </c>
      <c r="P95"/>
      <c r="Q95"/>
      <c r="R95"/>
      <c r="S95"/>
      <c r="T95"/>
      <c r="U95"/>
      <c r="V95"/>
      <c r="W95"/>
      <c r="X95"/>
      <c r="Y95"/>
      <c r="Z95"/>
      <c r="AA95"/>
      <c r="AB95"/>
      <c r="AC95"/>
      <c r="AD95"/>
      <c r="AE95"/>
      <c r="AF95"/>
      <c r="AG95"/>
      <c r="AH95"/>
      <c r="AI95"/>
      <c r="AJ95"/>
      <c r="AK95"/>
    </row>
    <row r="96" spans="1:37" s="80" customFormat="1" x14ac:dyDescent="0.35">
      <c r="A96" s="80">
        <f t="shared" si="7"/>
        <v>3132</v>
      </c>
      <c r="B96" s="80" t="s">
        <v>1018</v>
      </c>
      <c r="C96" s="80">
        <v>3130</v>
      </c>
      <c r="D96" s="80" t="s">
        <v>943</v>
      </c>
      <c r="G96" s="81"/>
      <c r="H96" s="80">
        <v>1</v>
      </c>
      <c r="K96" s="80">
        <v>1</v>
      </c>
      <c r="L96"/>
      <c r="M96" t="str">
        <f t="shared" si="3"/>
        <v>(3132, 'Hyper (Bilirubin)', 3130, 'Bilirubin', '', '', '', 1, NULL, NULL, 1, 'Raminder Ahlawat'),</v>
      </c>
      <c r="N96"/>
      <c r="O96" t="str">
        <f t="shared" si="4"/>
        <v>update TEST_RESULT set LBOUND = 1, UBOUND = NULL WHERE ID = 3132;</v>
      </c>
      <c r="P96"/>
      <c r="Q96"/>
      <c r="R96"/>
      <c r="S96"/>
      <c r="T96"/>
      <c r="U96"/>
      <c r="V96"/>
      <c r="W96"/>
      <c r="X96"/>
      <c r="Y96"/>
      <c r="Z96"/>
      <c r="AA96"/>
      <c r="AB96"/>
      <c r="AC96"/>
      <c r="AD96"/>
      <c r="AE96"/>
      <c r="AF96"/>
      <c r="AG96"/>
      <c r="AH96"/>
      <c r="AI96"/>
      <c r="AJ96"/>
      <c r="AK96"/>
    </row>
    <row r="97" spans="1:37" s="80" customFormat="1" x14ac:dyDescent="0.35">
      <c r="A97" s="80">
        <v>3142</v>
      </c>
      <c r="B97" s="80" t="s">
        <v>1069</v>
      </c>
      <c r="C97" s="80">
        <v>3140</v>
      </c>
      <c r="D97" s="80" t="s">
        <v>1065</v>
      </c>
      <c r="G97" s="81"/>
      <c r="H97" s="80">
        <v>10</v>
      </c>
      <c r="K97" s="80">
        <v>1</v>
      </c>
      <c r="L97"/>
      <c r="M97" t="str">
        <f t="shared" si="3"/>
        <v>(3142, 'Hyper (Insulin)', 3140, 'Insulin', '', '', '', 10, NULL, NULL, 1, 'Raminder Ahlawat'),</v>
      </c>
      <c r="N97"/>
      <c r="O97" t="str">
        <f t="shared" si="4"/>
        <v>update TEST_RESULT set LBOUND = 10, UBOUND = NULL WHERE ID = 3142;</v>
      </c>
      <c r="P97"/>
      <c r="Q97"/>
      <c r="R97"/>
      <c r="S97"/>
      <c r="T97"/>
      <c r="U97"/>
      <c r="V97"/>
      <c r="W97"/>
      <c r="X97"/>
      <c r="Y97"/>
      <c r="Z97"/>
      <c r="AA97"/>
      <c r="AB97"/>
      <c r="AC97"/>
      <c r="AD97"/>
      <c r="AE97"/>
      <c r="AF97"/>
      <c r="AG97"/>
      <c r="AH97"/>
      <c r="AI97"/>
      <c r="AJ97"/>
      <c r="AK97"/>
    </row>
    <row r="98" spans="1:37" s="78" customFormat="1" x14ac:dyDescent="0.35">
      <c r="A98" s="78">
        <v>4000</v>
      </c>
      <c r="B98" s="78" t="s">
        <v>944</v>
      </c>
      <c r="C98" s="78">
        <v>4000</v>
      </c>
      <c r="D98" s="78" t="s">
        <v>927</v>
      </c>
      <c r="F98" s="79"/>
      <c r="G98" s="79"/>
      <c r="H98" s="78">
        <v>60</v>
      </c>
      <c r="K98" s="78">
        <v>3</v>
      </c>
      <c r="L98"/>
      <c r="M98" t="str">
        <f t="shared" si="3"/>
        <v>(4000, 'Normal (HDL)', 4000, 'High-density lipoprotein (HDL) cholesterol', '', '', '', 60, NULL, NULL, 3, 'Raminder Ahlawat'),</v>
      </c>
      <c r="N98"/>
      <c r="O98" t="str">
        <f t="shared" si="4"/>
        <v>update TEST_RESULT set LBOUND = 60, UBOUND = NULL WHERE ID = 4000;</v>
      </c>
      <c r="P98"/>
      <c r="Q98"/>
      <c r="R98"/>
      <c r="S98"/>
      <c r="T98"/>
      <c r="U98"/>
      <c r="V98"/>
      <c r="W98"/>
      <c r="X98"/>
      <c r="Y98"/>
      <c r="Z98"/>
      <c r="AA98"/>
      <c r="AB98"/>
      <c r="AC98"/>
      <c r="AD98"/>
      <c r="AE98"/>
      <c r="AF98"/>
      <c r="AG98"/>
      <c r="AH98"/>
      <c r="AI98"/>
      <c r="AJ98"/>
      <c r="AK98"/>
    </row>
    <row r="99" spans="1:37" s="78" customFormat="1" x14ac:dyDescent="0.35">
      <c r="A99" s="78">
        <v>4010</v>
      </c>
      <c r="B99" s="78" t="s">
        <v>945</v>
      </c>
      <c r="C99" s="78">
        <v>4010</v>
      </c>
      <c r="D99" s="78" t="s">
        <v>928</v>
      </c>
      <c r="F99" s="79"/>
      <c r="G99" s="79"/>
      <c r="I99" s="78">
        <v>100</v>
      </c>
      <c r="K99" s="78">
        <v>3</v>
      </c>
      <c r="L99"/>
      <c r="M99" t="str">
        <f t="shared" si="3"/>
        <v>(4010, 'Normal (LDL)', 4010, 'Low-density lipoprotein (LDL) cholesterol', '', '', '', NULL, 100, NULL, 3, 'Raminder Ahlawat'),</v>
      </c>
      <c r="N99"/>
      <c r="O99" t="str">
        <f t="shared" si="4"/>
        <v>update TEST_RESULT set LBOUND = NULL, UBOUND = 100 WHERE ID = 4010;</v>
      </c>
      <c r="P99"/>
      <c r="Q99"/>
      <c r="R99"/>
      <c r="S99"/>
      <c r="T99"/>
      <c r="U99"/>
      <c r="V99"/>
      <c r="W99"/>
      <c r="X99"/>
      <c r="Y99"/>
      <c r="Z99"/>
      <c r="AA99"/>
      <c r="AB99"/>
      <c r="AC99"/>
      <c r="AD99"/>
      <c r="AE99"/>
      <c r="AF99"/>
      <c r="AG99"/>
      <c r="AH99"/>
      <c r="AI99"/>
      <c r="AJ99"/>
      <c r="AK99"/>
    </row>
    <row r="100" spans="1:37" s="78" customFormat="1" x14ac:dyDescent="0.35">
      <c r="A100" s="78">
        <v>4020</v>
      </c>
      <c r="B100" s="78" t="s">
        <v>946</v>
      </c>
      <c r="C100" s="78">
        <v>4020</v>
      </c>
      <c r="D100" s="78" t="s">
        <v>929</v>
      </c>
      <c r="I100" s="78">
        <v>150</v>
      </c>
      <c r="K100" s="78">
        <v>3</v>
      </c>
      <c r="L100"/>
      <c r="M100" t="str">
        <f t="shared" si="3"/>
        <v>(4020, 'Normal (Triglycerides)', 4020, 'Triglycerides', '', '', '', NULL, 150, NULL, 3, 'Raminder Ahlawat'),</v>
      </c>
      <c r="N100"/>
      <c r="O100" t="str">
        <f t="shared" si="4"/>
        <v>update TEST_RESULT set LBOUND = NULL, UBOUND = 150 WHERE ID = 4020;</v>
      </c>
      <c r="P100"/>
      <c r="Q100"/>
      <c r="R100"/>
      <c r="S100"/>
      <c r="T100"/>
      <c r="U100"/>
      <c r="V100"/>
      <c r="W100"/>
      <c r="X100"/>
      <c r="Y100"/>
      <c r="Z100"/>
      <c r="AA100"/>
      <c r="AB100"/>
      <c r="AC100"/>
      <c r="AD100"/>
      <c r="AE100"/>
      <c r="AF100"/>
      <c r="AG100"/>
      <c r="AH100"/>
      <c r="AI100"/>
      <c r="AJ100"/>
      <c r="AK100"/>
    </row>
    <row r="101" spans="1:37" s="78" customFormat="1" x14ac:dyDescent="0.35">
      <c r="A101" s="78">
        <v>4030</v>
      </c>
      <c r="B101" s="78" t="s">
        <v>947</v>
      </c>
      <c r="C101" s="78">
        <v>4030</v>
      </c>
      <c r="D101" s="78" t="s">
        <v>930</v>
      </c>
      <c r="I101" s="78">
        <v>200</v>
      </c>
      <c r="K101" s="78">
        <v>3</v>
      </c>
      <c r="L101"/>
      <c r="M101" t="str">
        <f t="shared" si="3"/>
        <v>(4030, 'Normal (Total cholestrol)', 4030, 'Total cholesterol', '', '', '', NULL, 200, NULL, 3, 'Raminder Ahlawat'),</v>
      </c>
      <c r="N101"/>
      <c r="O101" t="str">
        <f t="shared" si="4"/>
        <v>update TEST_RESULT set LBOUND = NULL, UBOUND = 200 WHERE ID = 4030;</v>
      </c>
      <c r="P101"/>
      <c r="Q101"/>
      <c r="R101"/>
      <c r="S101"/>
      <c r="T101"/>
      <c r="U101"/>
      <c r="V101"/>
      <c r="W101"/>
      <c r="X101"/>
      <c r="Y101"/>
      <c r="Z101"/>
      <c r="AA101"/>
      <c r="AB101"/>
      <c r="AC101"/>
      <c r="AD101"/>
      <c r="AE101"/>
      <c r="AF101"/>
      <c r="AG101"/>
      <c r="AH101"/>
      <c r="AI101"/>
      <c r="AJ101"/>
      <c r="AK101"/>
    </row>
    <row r="102" spans="1:37" s="78" customFormat="1" x14ac:dyDescent="0.35">
      <c r="A102" s="78">
        <f>A98+1</f>
        <v>4001</v>
      </c>
      <c r="B102" s="78" t="s">
        <v>1033</v>
      </c>
      <c r="C102" s="78">
        <v>4000</v>
      </c>
      <c r="D102" s="78" t="s">
        <v>927</v>
      </c>
      <c r="F102" s="79"/>
      <c r="G102" s="79"/>
      <c r="I102" s="78">
        <v>60</v>
      </c>
      <c r="K102" s="78">
        <v>1</v>
      </c>
      <c r="L102"/>
      <c r="M102" t="str">
        <f t="shared" si="3"/>
        <v>(4001, 'Low (HDL)', 4000, 'High-density lipoprotein (HDL) cholesterol', '', '', '', NULL, 60, NULL, 1, 'Raminder Ahlawat'),</v>
      </c>
      <c r="N102"/>
      <c r="O102" t="str">
        <f t="shared" si="4"/>
        <v>update TEST_RESULT set LBOUND = NULL, UBOUND = 60 WHERE ID = 4001;</v>
      </c>
      <c r="P102"/>
      <c r="Q102"/>
      <c r="R102"/>
      <c r="S102"/>
      <c r="T102"/>
      <c r="U102"/>
      <c r="V102"/>
      <c r="W102"/>
      <c r="X102"/>
      <c r="Y102"/>
      <c r="Z102"/>
      <c r="AA102"/>
      <c r="AB102"/>
      <c r="AC102"/>
      <c r="AD102"/>
      <c r="AE102"/>
      <c r="AF102"/>
      <c r="AG102"/>
      <c r="AH102"/>
      <c r="AI102"/>
      <c r="AJ102"/>
      <c r="AK102"/>
    </row>
    <row r="103" spans="1:37" s="78" customFormat="1" x14ac:dyDescent="0.35">
      <c r="A103" s="78">
        <f t="shared" ref="A103:A105" si="8">A99+1</f>
        <v>4011</v>
      </c>
      <c r="B103" s="78" t="s">
        <v>1034</v>
      </c>
      <c r="C103" s="78">
        <v>4010</v>
      </c>
      <c r="D103" s="78" t="s">
        <v>928</v>
      </c>
      <c r="F103" s="79"/>
      <c r="G103" s="79"/>
      <c r="H103" s="78">
        <v>100</v>
      </c>
      <c r="K103" s="78">
        <v>1</v>
      </c>
      <c r="L103"/>
      <c r="M103" t="str">
        <f t="shared" si="3"/>
        <v>(4011, 'High (LDL)', 4010, 'Low-density lipoprotein (LDL) cholesterol', '', '', '', 100, NULL, NULL, 1, 'Raminder Ahlawat'),</v>
      </c>
      <c r="N103"/>
      <c r="O103" t="str">
        <f t="shared" si="4"/>
        <v>update TEST_RESULT set LBOUND = 100, UBOUND = NULL WHERE ID = 4011;</v>
      </c>
      <c r="P103"/>
      <c r="Q103"/>
      <c r="R103"/>
      <c r="S103"/>
      <c r="T103"/>
      <c r="U103"/>
      <c r="V103"/>
      <c r="W103"/>
      <c r="X103"/>
      <c r="Y103"/>
      <c r="Z103"/>
      <c r="AA103"/>
      <c r="AB103"/>
      <c r="AC103"/>
      <c r="AD103"/>
      <c r="AE103"/>
      <c r="AF103"/>
      <c r="AG103"/>
      <c r="AH103"/>
      <c r="AI103"/>
      <c r="AJ103"/>
      <c r="AK103"/>
    </row>
    <row r="104" spans="1:37" s="78" customFormat="1" x14ac:dyDescent="0.35">
      <c r="A104" s="78">
        <f t="shared" si="8"/>
        <v>4021</v>
      </c>
      <c r="B104" s="78" t="s">
        <v>1035</v>
      </c>
      <c r="C104" s="78">
        <v>4020</v>
      </c>
      <c r="D104" s="78" t="s">
        <v>929</v>
      </c>
      <c r="H104" s="78">
        <v>150</v>
      </c>
      <c r="K104" s="78">
        <v>1</v>
      </c>
      <c r="L104"/>
      <c r="M104" t="str">
        <f t="shared" si="3"/>
        <v>(4021, 'High (Triglycerides)', 4020, 'Triglycerides', '', '', '', 150, NULL, NULL, 1, 'Raminder Ahlawat'),</v>
      </c>
      <c r="N104"/>
      <c r="O104" t="str">
        <f t="shared" si="4"/>
        <v>update TEST_RESULT set LBOUND = 150, UBOUND = NULL WHERE ID = 4021;</v>
      </c>
      <c r="P104"/>
      <c r="Q104"/>
      <c r="R104"/>
      <c r="S104"/>
      <c r="T104"/>
      <c r="U104"/>
      <c r="V104"/>
      <c r="W104"/>
      <c r="X104"/>
      <c r="Y104"/>
      <c r="Z104"/>
      <c r="AA104"/>
      <c r="AB104"/>
      <c r="AC104"/>
      <c r="AD104"/>
      <c r="AE104"/>
      <c r="AF104"/>
      <c r="AG104"/>
      <c r="AH104"/>
      <c r="AI104"/>
      <c r="AJ104"/>
      <c r="AK104"/>
    </row>
    <row r="105" spans="1:37" s="78" customFormat="1" x14ac:dyDescent="0.35">
      <c r="A105" s="78">
        <f t="shared" si="8"/>
        <v>4031</v>
      </c>
      <c r="B105" s="78" t="s">
        <v>1036</v>
      </c>
      <c r="C105" s="78">
        <v>4030</v>
      </c>
      <c r="D105" s="78" t="s">
        <v>930</v>
      </c>
      <c r="H105" s="78">
        <v>200</v>
      </c>
      <c r="K105" s="78">
        <v>1</v>
      </c>
      <c r="L105"/>
      <c r="M105" t="str">
        <f t="shared" si="3"/>
        <v>(4031, 'High (Total cholestrol)', 4030, 'Total cholesterol', '', '', '', 200, NULL, NULL, 1, 'Raminder Ahlawat'),</v>
      </c>
      <c r="N105"/>
      <c r="O105" t="str">
        <f t="shared" si="4"/>
        <v>update TEST_RESULT set LBOUND = 200, UBOUND = NULL WHERE ID = 4031;</v>
      </c>
      <c r="P105"/>
      <c r="Q105"/>
      <c r="R105"/>
      <c r="S105"/>
      <c r="T105"/>
      <c r="U105"/>
      <c r="V105"/>
      <c r="W105"/>
      <c r="X105"/>
      <c r="Y105"/>
      <c r="Z105"/>
      <c r="AA105"/>
      <c r="AB105"/>
      <c r="AC105"/>
      <c r="AD105"/>
      <c r="AE105"/>
      <c r="AF105"/>
      <c r="AG105"/>
      <c r="AH105"/>
      <c r="AI105"/>
      <c r="AJ105"/>
      <c r="AK105"/>
    </row>
    <row r="106" spans="1:37" s="80" customFormat="1" x14ac:dyDescent="0.35">
      <c r="A106" s="80">
        <v>5000</v>
      </c>
      <c r="B106" s="80" t="s">
        <v>948</v>
      </c>
      <c r="C106" s="80">
        <v>5000</v>
      </c>
      <c r="D106" s="80" t="s">
        <v>899</v>
      </c>
      <c r="E106" s="80">
        <v>200</v>
      </c>
      <c r="F106" s="80" t="s">
        <v>172</v>
      </c>
      <c r="G106" s="81" t="s">
        <v>969</v>
      </c>
      <c r="H106" s="80">
        <v>2.2999999999999998</v>
      </c>
      <c r="I106" s="80">
        <v>5</v>
      </c>
      <c r="K106" s="80">
        <v>3</v>
      </c>
      <c r="L106"/>
      <c r="M106" t="str">
        <f t="shared" si="3"/>
        <v>(5000, 'Normal (T3)', 5000, 'Free T3', '200', 'Age', '["20 years under"]', 2.3, 5, NULL, 3, 'Raminder Ahlawat'),</v>
      </c>
      <c r="N106"/>
      <c r="O106" t="str">
        <f t="shared" si="4"/>
        <v>update TEST_RESULT set LBOUND = 2.3, UBOUND = 5 WHERE ID = 5000;</v>
      </c>
      <c r="P106"/>
      <c r="Q106"/>
      <c r="R106"/>
      <c r="S106"/>
      <c r="T106"/>
      <c r="U106"/>
      <c r="V106"/>
      <c r="W106"/>
      <c r="X106"/>
      <c r="Y106"/>
      <c r="Z106"/>
      <c r="AA106"/>
      <c r="AB106"/>
      <c r="AC106"/>
      <c r="AD106"/>
      <c r="AE106"/>
      <c r="AF106"/>
      <c r="AG106"/>
      <c r="AH106"/>
      <c r="AI106"/>
      <c r="AJ106"/>
      <c r="AK106"/>
    </row>
    <row r="107" spans="1:37" s="80" customFormat="1" x14ac:dyDescent="0.35">
      <c r="A107" s="80">
        <v>5001</v>
      </c>
      <c r="B107" s="80" t="s">
        <v>948</v>
      </c>
      <c r="C107" s="80">
        <v>5000</v>
      </c>
      <c r="D107" s="80" t="s">
        <v>899</v>
      </c>
      <c r="E107" s="80">
        <v>200</v>
      </c>
      <c r="F107" s="80" t="s">
        <v>172</v>
      </c>
      <c r="G107" s="80" t="s">
        <v>970</v>
      </c>
      <c r="H107" s="80">
        <v>2.2999999999999998</v>
      </c>
      <c r="I107" s="80">
        <v>4</v>
      </c>
      <c r="K107" s="80">
        <v>3</v>
      </c>
      <c r="L107"/>
      <c r="M107" t="str">
        <f t="shared" si="3"/>
        <v>(5001, 'Normal (T3)', 5000, 'Free T3', '200', 'Age', '["20 - 29 years,30 - 39 years,40 - 49 years,50 - 59 years,60 - 69 years,70 - 79 years,80 years and over"]', 2.3, 4, NULL, 3, 'Raminder Ahlawat'),</v>
      </c>
      <c r="N107"/>
      <c r="O107" t="str">
        <f t="shared" si="4"/>
        <v>update TEST_RESULT set LBOUND = 2.3, UBOUND = 4 WHERE ID = 5001;</v>
      </c>
      <c r="P107"/>
      <c r="Q107"/>
      <c r="R107"/>
      <c r="S107"/>
      <c r="T107"/>
      <c r="U107"/>
      <c r="V107"/>
      <c r="W107"/>
      <c r="X107"/>
      <c r="Y107"/>
      <c r="Z107"/>
      <c r="AA107"/>
      <c r="AB107"/>
      <c r="AC107"/>
      <c r="AD107"/>
      <c r="AE107"/>
      <c r="AF107"/>
      <c r="AG107"/>
      <c r="AH107"/>
      <c r="AI107"/>
      <c r="AJ107"/>
      <c r="AK107"/>
    </row>
    <row r="108" spans="1:37" s="80" customFormat="1" x14ac:dyDescent="0.35">
      <c r="A108" s="80">
        <v>5010</v>
      </c>
      <c r="B108" s="80" t="s">
        <v>949</v>
      </c>
      <c r="C108" s="80">
        <v>5010</v>
      </c>
      <c r="D108" s="80" t="s">
        <v>900</v>
      </c>
      <c r="E108" s="80">
        <v>200</v>
      </c>
      <c r="F108" s="80" t="s">
        <v>172</v>
      </c>
      <c r="G108" s="81" t="s">
        <v>969</v>
      </c>
      <c r="H108" s="80">
        <v>0.8</v>
      </c>
      <c r="I108" s="80">
        <v>2.8</v>
      </c>
      <c r="K108" s="80">
        <v>3</v>
      </c>
      <c r="L108"/>
      <c r="M108" t="str">
        <f t="shared" si="3"/>
        <v>(5010, 'Normal (T4)', 5010, 'Free T4', '200', 'Age', '["20 years under"]', 0.8, 2.8, NULL, 3, 'Raminder Ahlawat'),</v>
      </c>
      <c r="N108"/>
      <c r="O108" t="str">
        <f t="shared" si="4"/>
        <v>update TEST_RESULT set LBOUND = 0.8, UBOUND = 2.8 WHERE ID = 5010;</v>
      </c>
      <c r="P108"/>
      <c r="Q108"/>
      <c r="R108"/>
      <c r="S108"/>
      <c r="T108"/>
      <c r="U108"/>
      <c r="V108"/>
      <c r="W108"/>
      <c r="X108"/>
      <c r="Y108"/>
      <c r="Z108"/>
      <c r="AA108"/>
      <c r="AB108"/>
      <c r="AC108"/>
      <c r="AD108"/>
      <c r="AE108"/>
      <c r="AF108"/>
      <c r="AG108"/>
      <c r="AH108"/>
      <c r="AI108"/>
      <c r="AJ108"/>
      <c r="AK108"/>
    </row>
    <row r="109" spans="1:37" s="80" customFormat="1" x14ac:dyDescent="0.35">
      <c r="A109" s="80">
        <v>5011</v>
      </c>
      <c r="B109" s="80" t="s">
        <v>949</v>
      </c>
      <c r="C109" s="80">
        <v>5010</v>
      </c>
      <c r="D109" s="80" t="s">
        <v>900</v>
      </c>
      <c r="E109" s="80">
        <v>200</v>
      </c>
      <c r="F109" s="80" t="s">
        <v>172</v>
      </c>
      <c r="G109" s="80" t="s">
        <v>970</v>
      </c>
      <c r="H109" s="80">
        <v>0.9</v>
      </c>
      <c r="I109" s="80">
        <v>1.7</v>
      </c>
      <c r="K109" s="80">
        <v>3</v>
      </c>
      <c r="L109"/>
      <c r="M109" t="str">
        <f t="shared" si="3"/>
        <v>(5011, 'Normal (T4)', 5010, 'Free T4', '200', 'Age', '["20 - 29 years,30 - 39 years,40 - 49 years,50 - 59 years,60 - 69 years,70 - 79 years,80 years and over"]', 0.9, 1.7, NULL, 3, 'Raminder Ahlawat'),</v>
      </c>
      <c r="N109"/>
      <c r="O109" t="str">
        <f t="shared" si="4"/>
        <v>update TEST_RESULT set LBOUND = 0.9, UBOUND = 1.7 WHERE ID = 5011;</v>
      </c>
      <c r="P109"/>
      <c r="Q109"/>
      <c r="R109"/>
      <c r="S109"/>
      <c r="T109"/>
      <c r="U109"/>
      <c r="V109"/>
      <c r="W109"/>
      <c r="X109"/>
      <c r="Y109"/>
      <c r="Z109"/>
      <c r="AA109"/>
      <c r="AB109"/>
      <c r="AC109"/>
      <c r="AD109"/>
      <c r="AE109"/>
      <c r="AF109"/>
      <c r="AG109"/>
      <c r="AH109"/>
      <c r="AI109"/>
      <c r="AJ109"/>
      <c r="AK109"/>
    </row>
    <row r="110" spans="1:37" s="80" customFormat="1" x14ac:dyDescent="0.35">
      <c r="A110" s="80">
        <v>5020</v>
      </c>
      <c r="B110" s="80" t="s">
        <v>950</v>
      </c>
      <c r="C110" s="80">
        <v>5020</v>
      </c>
      <c r="D110" s="80" t="s">
        <v>901</v>
      </c>
      <c r="H110" s="80">
        <v>0.4</v>
      </c>
      <c r="I110" s="80">
        <v>4</v>
      </c>
      <c r="K110" s="80">
        <v>3</v>
      </c>
      <c r="L110"/>
      <c r="M110" t="str">
        <f t="shared" si="3"/>
        <v>(5020, 'Normal (TSH)', 5020, 'TSH', '', '', '', 0.4, 4, NULL, 3, 'Raminder Ahlawat'),</v>
      </c>
      <c r="N110"/>
      <c r="O110" t="str">
        <f t="shared" si="4"/>
        <v>update TEST_RESULT set LBOUND = 0.4, UBOUND = 4 WHERE ID = 5020;</v>
      </c>
      <c r="P110"/>
      <c r="Q110"/>
      <c r="R110"/>
      <c r="S110"/>
      <c r="T110"/>
      <c r="U110"/>
      <c r="V110"/>
      <c r="W110"/>
      <c r="X110"/>
      <c r="Y110"/>
      <c r="Z110"/>
      <c r="AA110"/>
      <c r="AB110"/>
      <c r="AC110"/>
      <c r="AD110"/>
      <c r="AE110"/>
      <c r="AF110"/>
      <c r="AG110"/>
      <c r="AH110"/>
      <c r="AI110"/>
      <c r="AJ110"/>
      <c r="AK110"/>
    </row>
    <row r="111" spans="1:37" s="80" customFormat="1" x14ac:dyDescent="0.35">
      <c r="A111" s="80">
        <f>A107+1</f>
        <v>5002</v>
      </c>
      <c r="B111" s="80" t="s">
        <v>1037</v>
      </c>
      <c r="C111" s="80">
        <v>5000</v>
      </c>
      <c r="D111" s="80" t="s">
        <v>899</v>
      </c>
      <c r="E111" s="80">
        <v>200</v>
      </c>
      <c r="F111" s="80" t="s">
        <v>172</v>
      </c>
      <c r="G111" s="81" t="s">
        <v>969</v>
      </c>
      <c r="I111" s="80">
        <v>2.2999999999999998</v>
      </c>
      <c r="K111" s="80">
        <v>1</v>
      </c>
      <c r="L111"/>
      <c r="M111" t="str">
        <f t="shared" si="3"/>
        <v>(5002, 'Hypo (T3)', 5000, 'Free T3', '200', 'Age', '["20 years under"]', NULL, 2.3, NULL, 1, 'Raminder Ahlawat'),</v>
      </c>
      <c r="N111"/>
      <c r="O111" t="str">
        <f t="shared" si="4"/>
        <v>update TEST_RESULT set LBOUND = NULL, UBOUND = 2.3 WHERE ID = 5002;</v>
      </c>
      <c r="P111"/>
      <c r="Q111"/>
      <c r="R111"/>
      <c r="S111"/>
      <c r="T111"/>
      <c r="U111"/>
      <c r="V111"/>
      <c r="W111"/>
      <c r="X111"/>
      <c r="Y111"/>
      <c r="Z111"/>
      <c r="AA111"/>
      <c r="AB111"/>
      <c r="AC111"/>
      <c r="AD111"/>
      <c r="AE111"/>
      <c r="AF111"/>
      <c r="AG111"/>
      <c r="AH111"/>
      <c r="AI111"/>
      <c r="AJ111"/>
      <c r="AK111"/>
    </row>
    <row r="112" spans="1:37" s="80" customFormat="1" x14ac:dyDescent="0.35">
      <c r="A112" s="80">
        <f>A111+1</f>
        <v>5003</v>
      </c>
      <c r="B112" s="80" t="s">
        <v>1037</v>
      </c>
      <c r="C112" s="80">
        <v>5000</v>
      </c>
      <c r="D112" s="80" t="s">
        <v>899</v>
      </c>
      <c r="E112" s="80">
        <v>200</v>
      </c>
      <c r="F112" s="80" t="s">
        <v>172</v>
      </c>
      <c r="G112" s="80" t="s">
        <v>970</v>
      </c>
      <c r="I112" s="80">
        <v>2.2999999999999998</v>
      </c>
      <c r="K112" s="80">
        <v>1</v>
      </c>
      <c r="L112"/>
      <c r="M112" t="str">
        <f t="shared" si="3"/>
        <v>(5003, 'Hypo (T3)', 5000, 'Free T3', '200', 'Age', '["20 - 29 years,30 - 39 years,40 - 49 years,50 - 59 years,60 - 69 years,70 - 79 years,80 years and over"]', NULL, 2.3, NULL, 1, 'Raminder Ahlawat'),</v>
      </c>
      <c r="N112"/>
      <c r="O112" t="str">
        <f t="shared" si="4"/>
        <v>update TEST_RESULT set LBOUND = NULL, UBOUND = 2.3 WHERE ID = 5003;</v>
      </c>
      <c r="P112"/>
      <c r="Q112"/>
      <c r="R112"/>
      <c r="S112"/>
      <c r="T112"/>
      <c r="U112"/>
      <c r="V112"/>
      <c r="W112"/>
      <c r="X112"/>
      <c r="Y112"/>
      <c r="Z112"/>
      <c r="AA112"/>
      <c r="AB112"/>
      <c r="AC112"/>
      <c r="AD112"/>
      <c r="AE112"/>
      <c r="AF112"/>
      <c r="AG112"/>
      <c r="AH112"/>
      <c r="AI112"/>
      <c r="AJ112"/>
      <c r="AK112"/>
    </row>
    <row r="113" spans="1:37" s="80" customFormat="1" x14ac:dyDescent="0.35">
      <c r="A113" s="80">
        <f>A109+1</f>
        <v>5012</v>
      </c>
      <c r="B113" s="80" t="s">
        <v>1038</v>
      </c>
      <c r="C113" s="80">
        <v>5010</v>
      </c>
      <c r="D113" s="80" t="s">
        <v>900</v>
      </c>
      <c r="E113" s="80">
        <v>200</v>
      </c>
      <c r="F113" s="80" t="s">
        <v>172</v>
      </c>
      <c r="G113" s="81" t="s">
        <v>969</v>
      </c>
      <c r="I113" s="80">
        <v>0.8</v>
      </c>
      <c r="K113" s="80">
        <v>1</v>
      </c>
      <c r="L113"/>
      <c r="M113" t="str">
        <f t="shared" si="3"/>
        <v>(5012, 'Hypo (T4)', 5010, 'Free T4', '200', 'Age', '["20 years under"]', NULL, 0.8, NULL, 1, 'Raminder Ahlawat'),</v>
      </c>
      <c r="N113"/>
      <c r="O113" t="str">
        <f t="shared" si="4"/>
        <v>update TEST_RESULT set LBOUND = NULL, UBOUND = 0.8 WHERE ID = 5012;</v>
      </c>
      <c r="P113"/>
      <c r="Q113"/>
      <c r="R113"/>
      <c r="S113"/>
      <c r="T113"/>
      <c r="U113"/>
      <c r="V113"/>
      <c r="W113"/>
      <c r="X113"/>
      <c r="Y113"/>
      <c r="Z113"/>
      <c r="AA113"/>
      <c r="AB113"/>
      <c r="AC113"/>
      <c r="AD113"/>
      <c r="AE113"/>
      <c r="AF113"/>
      <c r="AG113"/>
      <c r="AH113"/>
      <c r="AI113"/>
      <c r="AJ113"/>
      <c r="AK113"/>
    </row>
    <row r="114" spans="1:37" s="80" customFormat="1" x14ac:dyDescent="0.35">
      <c r="A114" s="80">
        <f>A113+1</f>
        <v>5013</v>
      </c>
      <c r="B114" s="80" t="s">
        <v>1038</v>
      </c>
      <c r="C114" s="80">
        <v>5010</v>
      </c>
      <c r="D114" s="80" t="s">
        <v>900</v>
      </c>
      <c r="E114" s="80">
        <v>200</v>
      </c>
      <c r="F114" s="80" t="s">
        <v>172</v>
      </c>
      <c r="G114" s="80" t="s">
        <v>970</v>
      </c>
      <c r="I114" s="80">
        <v>0.9</v>
      </c>
      <c r="K114" s="80">
        <v>1</v>
      </c>
      <c r="L114"/>
      <c r="M114" t="str">
        <f t="shared" si="3"/>
        <v>(5013, 'Hypo (T4)', 5010, 'Free T4', '200', 'Age', '["20 - 29 years,30 - 39 years,40 - 49 years,50 - 59 years,60 - 69 years,70 - 79 years,80 years and over"]', NULL, 0.9, NULL, 1, 'Raminder Ahlawat'),</v>
      </c>
      <c r="N114"/>
      <c r="O114" t="str">
        <f t="shared" si="4"/>
        <v>update TEST_RESULT set LBOUND = NULL, UBOUND = 0.9 WHERE ID = 5013;</v>
      </c>
      <c r="P114"/>
      <c r="Q114"/>
      <c r="R114"/>
      <c r="S114"/>
      <c r="T114"/>
      <c r="U114"/>
      <c r="V114"/>
      <c r="W114"/>
      <c r="X114"/>
      <c r="Y114"/>
      <c r="Z114"/>
      <c r="AA114"/>
      <c r="AB114"/>
      <c r="AC114"/>
      <c r="AD114"/>
      <c r="AE114"/>
      <c r="AF114"/>
      <c r="AG114"/>
      <c r="AH114"/>
      <c r="AI114"/>
      <c r="AJ114"/>
      <c r="AK114"/>
    </row>
    <row r="115" spans="1:37" s="80" customFormat="1" x14ac:dyDescent="0.35">
      <c r="A115" s="80">
        <f>A110+1</f>
        <v>5021</v>
      </c>
      <c r="B115" s="80" t="s">
        <v>1039</v>
      </c>
      <c r="C115" s="80">
        <v>5020</v>
      </c>
      <c r="D115" s="80" t="s">
        <v>901</v>
      </c>
      <c r="I115" s="80">
        <v>0.4</v>
      </c>
      <c r="K115" s="80">
        <v>1</v>
      </c>
      <c r="L115"/>
      <c r="M115" t="str">
        <f t="shared" si="3"/>
        <v>(5021, 'Hypo (TSH)', 5020, 'TSH', '', '', '', NULL, 0.4, NULL, 1, 'Raminder Ahlawat'),</v>
      </c>
      <c r="N115"/>
      <c r="O115" t="str">
        <f t="shared" si="4"/>
        <v>update TEST_RESULT set LBOUND = NULL, UBOUND = 0.4 WHERE ID = 5021;</v>
      </c>
      <c r="P115"/>
      <c r="Q115"/>
      <c r="R115"/>
      <c r="S115"/>
      <c r="T115"/>
      <c r="U115"/>
      <c r="V115"/>
      <c r="W115"/>
      <c r="X115"/>
      <c r="Y115"/>
      <c r="Z115"/>
      <c r="AA115"/>
      <c r="AB115"/>
      <c r="AC115"/>
      <c r="AD115"/>
      <c r="AE115"/>
      <c r="AF115"/>
      <c r="AG115"/>
      <c r="AH115"/>
      <c r="AI115"/>
      <c r="AJ115"/>
      <c r="AK115"/>
    </row>
    <row r="116" spans="1:37" s="80" customFormat="1" x14ac:dyDescent="0.35">
      <c r="A116" s="80">
        <f>A112+1</f>
        <v>5004</v>
      </c>
      <c r="B116" s="80" t="s">
        <v>1040</v>
      </c>
      <c r="C116" s="80">
        <v>5000</v>
      </c>
      <c r="D116" s="80" t="s">
        <v>899</v>
      </c>
      <c r="E116" s="80">
        <v>200</v>
      </c>
      <c r="F116" s="80" t="s">
        <v>172</v>
      </c>
      <c r="G116" s="81" t="s">
        <v>969</v>
      </c>
      <c r="H116" s="80">
        <v>5</v>
      </c>
      <c r="K116" s="80">
        <v>1</v>
      </c>
      <c r="L116"/>
      <c r="M116" t="str">
        <f t="shared" si="3"/>
        <v>(5004, 'Hyper (T3)', 5000, 'Free T3', '200', 'Age', '["20 years under"]', 5, NULL, NULL, 1, 'Raminder Ahlawat'),</v>
      </c>
      <c r="N116"/>
      <c r="O116" t="str">
        <f t="shared" si="4"/>
        <v>update TEST_RESULT set LBOUND = 5, UBOUND = NULL WHERE ID = 5004;</v>
      </c>
      <c r="P116"/>
      <c r="Q116"/>
      <c r="R116"/>
      <c r="S116"/>
      <c r="T116"/>
      <c r="U116"/>
      <c r="V116"/>
      <c r="W116"/>
      <c r="X116"/>
      <c r="Y116"/>
      <c r="Z116"/>
      <c r="AA116"/>
      <c r="AB116"/>
      <c r="AC116"/>
      <c r="AD116"/>
      <c r="AE116"/>
      <c r="AF116"/>
      <c r="AG116"/>
      <c r="AH116"/>
      <c r="AI116"/>
      <c r="AJ116"/>
      <c r="AK116"/>
    </row>
    <row r="117" spans="1:37" s="80" customFormat="1" x14ac:dyDescent="0.35">
      <c r="A117" s="80">
        <f>A116+1</f>
        <v>5005</v>
      </c>
      <c r="B117" s="80" t="s">
        <v>1040</v>
      </c>
      <c r="C117" s="80">
        <v>5000</v>
      </c>
      <c r="D117" s="80" t="s">
        <v>899</v>
      </c>
      <c r="E117" s="80">
        <v>200</v>
      </c>
      <c r="F117" s="80" t="s">
        <v>172</v>
      </c>
      <c r="G117" s="80" t="s">
        <v>970</v>
      </c>
      <c r="H117" s="80">
        <v>4</v>
      </c>
      <c r="K117" s="80">
        <v>1</v>
      </c>
      <c r="L117"/>
      <c r="M117" t="str">
        <f t="shared" si="3"/>
        <v>(5005, 'Hyper (T3)', 5000, 'Free T3', '200', 'Age', '["20 - 29 years,30 - 39 years,40 - 49 years,50 - 59 years,60 - 69 years,70 - 79 years,80 years and over"]', 4, NULL, NULL, 1, 'Raminder Ahlawat'),</v>
      </c>
      <c r="N117"/>
      <c r="O117" t="str">
        <f t="shared" si="4"/>
        <v>update TEST_RESULT set LBOUND = 4, UBOUND = NULL WHERE ID = 5005;</v>
      </c>
      <c r="P117"/>
      <c r="Q117"/>
      <c r="R117"/>
      <c r="S117"/>
      <c r="T117"/>
      <c r="U117"/>
      <c r="V117"/>
      <c r="W117"/>
      <c r="X117"/>
      <c r="Y117"/>
      <c r="Z117"/>
      <c r="AA117"/>
      <c r="AB117"/>
      <c r="AC117"/>
      <c r="AD117"/>
      <c r="AE117"/>
      <c r="AF117"/>
      <c r="AG117"/>
      <c r="AH117"/>
      <c r="AI117"/>
      <c r="AJ117"/>
      <c r="AK117"/>
    </row>
    <row r="118" spans="1:37" s="80" customFormat="1" x14ac:dyDescent="0.35">
      <c r="A118" s="80">
        <f>A114+1</f>
        <v>5014</v>
      </c>
      <c r="B118" s="80" t="s">
        <v>1041</v>
      </c>
      <c r="C118" s="80">
        <v>5010</v>
      </c>
      <c r="D118" s="80" t="s">
        <v>900</v>
      </c>
      <c r="E118" s="80">
        <v>200</v>
      </c>
      <c r="F118" s="80" t="s">
        <v>172</v>
      </c>
      <c r="G118" s="81" t="s">
        <v>969</v>
      </c>
      <c r="H118" s="80">
        <v>2.8</v>
      </c>
      <c r="K118" s="80">
        <v>1</v>
      </c>
      <c r="L118"/>
      <c r="M118" t="str">
        <f t="shared" si="3"/>
        <v>(5014, 'Hyper (T4)', 5010, 'Free T4', '200', 'Age', '["20 years under"]', 2.8, NULL, NULL, 1, 'Raminder Ahlawat'),</v>
      </c>
      <c r="N118"/>
      <c r="O118" t="str">
        <f t="shared" si="4"/>
        <v>update TEST_RESULT set LBOUND = 2.8, UBOUND = NULL WHERE ID = 5014;</v>
      </c>
      <c r="P118"/>
      <c r="Q118"/>
      <c r="R118"/>
      <c r="S118"/>
      <c r="T118"/>
      <c r="U118"/>
      <c r="V118"/>
      <c r="W118"/>
      <c r="X118"/>
      <c r="Y118"/>
      <c r="Z118"/>
      <c r="AA118"/>
      <c r="AB118"/>
      <c r="AC118"/>
      <c r="AD118"/>
      <c r="AE118"/>
      <c r="AF118"/>
      <c r="AG118"/>
      <c r="AH118"/>
      <c r="AI118"/>
      <c r="AJ118"/>
      <c r="AK118"/>
    </row>
    <row r="119" spans="1:37" s="80" customFormat="1" x14ac:dyDescent="0.35">
      <c r="A119" s="80">
        <f>A118+1</f>
        <v>5015</v>
      </c>
      <c r="B119" s="80" t="s">
        <v>1041</v>
      </c>
      <c r="C119" s="80">
        <v>5010</v>
      </c>
      <c r="D119" s="80" t="s">
        <v>900</v>
      </c>
      <c r="E119" s="80">
        <v>200</v>
      </c>
      <c r="F119" s="80" t="s">
        <v>172</v>
      </c>
      <c r="G119" s="80" t="s">
        <v>970</v>
      </c>
      <c r="H119" s="80">
        <v>1.7</v>
      </c>
      <c r="K119" s="80">
        <v>1</v>
      </c>
      <c r="L119"/>
      <c r="M119" t="str">
        <f t="shared" si="3"/>
        <v>(5015, 'Hyper (T4)', 5010, 'Free T4', '200', 'Age', '["20 - 29 years,30 - 39 years,40 - 49 years,50 - 59 years,60 - 69 years,70 - 79 years,80 years and over"]', 1.7, NULL, NULL, 1, 'Raminder Ahlawat'),</v>
      </c>
      <c r="N119"/>
      <c r="O119" t="str">
        <f t="shared" si="4"/>
        <v>update TEST_RESULT set LBOUND = 1.7, UBOUND = NULL WHERE ID = 5015;</v>
      </c>
      <c r="P119"/>
      <c r="Q119"/>
      <c r="R119"/>
      <c r="S119"/>
      <c r="T119"/>
      <c r="U119"/>
      <c r="V119"/>
      <c r="W119"/>
      <c r="X119"/>
      <c r="Y119"/>
      <c r="Z119"/>
      <c r="AA119"/>
      <c r="AB119"/>
      <c r="AC119"/>
      <c r="AD119"/>
      <c r="AE119"/>
      <c r="AF119"/>
      <c r="AG119"/>
      <c r="AH119"/>
      <c r="AI119"/>
      <c r="AJ119"/>
      <c r="AK119"/>
    </row>
    <row r="120" spans="1:37" s="80" customFormat="1" x14ac:dyDescent="0.35">
      <c r="A120" s="80">
        <f>A115+1</f>
        <v>5022</v>
      </c>
      <c r="B120" s="80" t="s">
        <v>1042</v>
      </c>
      <c r="C120" s="80">
        <v>5020</v>
      </c>
      <c r="D120" s="80" t="s">
        <v>901</v>
      </c>
      <c r="H120" s="80">
        <v>4</v>
      </c>
      <c r="K120" s="80">
        <v>1</v>
      </c>
      <c r="L120"/>
      <c r="M120" t="str">
        <f t="shared" si="3"/>
        <v>(5022, 'Hyper (TSH)', 5020, 'TSH', '', '', '', 4, NULL, NULL, 1, 'Raminder Ahlawat'),</v>
      </c>
      <c r="N120"/>
      <c r="O120" t="str">
        <f t="shared" si="4"/>
        <v>update TEST_RESULT set LBOUND = 4, UBOUND = NULL WHERE ID = 5022;</v>
      </c>
      <c r="P120"/>
      <c r="Q120"/>
      <c r="R120"/>
      <c r="S120"/>
      <c r="T120"/>
      <c r="U120"/>
      <c r="V120"/>
      <c r="W120"/>
      <c r="X120"/>
      <c r="Y120"/>
      <c r="Z120"/>
      <c r="AA120"/>
      <c r="AB120"/>
      <c r="AC120"/>
      <c r="AD120"/>
      <c r="AE120"/>
      <c r="AF120"/>
      <c r="AG120"/>
      <c r="AH120"/>
      <c r="AI120"/>
      <c r="AJ120"/>
      <c r="AK120"/>
    </row>
    <row r="121" spans="1:37" s="78" customFormat="1" x14ac:dyDescent="0.35">
      <c r="A121" s="78">
        <v>6000</v>
      </c>
      <c r="B121" s="78" t="s">
        <v>41</v>
      </c>
      <c r="C121" s="78">
        <v>6000</v>
      </c>
      <c r="D121" s="78" t="s">
        <v>1046</v>
      </c>
      <c r="K121" s="78">
        <v>3</v>
      </c>
      <c r="L121"/>
      <c r="M121" t="str">
        <f t="shared" si="3"/>
        <v>(6000, 'Normal', 6000, 'Color and Transparency', '', '', '', NULL, NULL, NULL, 3, 'Raminder Ahlawat'),</v>
      </c>
      <c r="N121"/>
      <c r="O121" t="str">
        <f t="shared" si="4"/>
        <v>update TEST_RESULT set LBOUND = NULL, UBOUND = NULL WHERE ID = 6000;</v>
      </c>
      <c r="P121"/>
      <c r="Q121"/>
      <c r="R121"/>
      <c r="S121"/>
      <c r="T121"/>
      <c r="U121"/>
      <c r="V121"/>
      <c r="W121"/>
      <c r="X121"/>
      <c r="Y121"/>
      <c r="Z121"/>
      <c r="AA121"/>
      <c r="AB121"/>
      <c r="AC121"/>
      <c r="AD121"/>
      <c r="AE121"/>
      <c r="AF121"/>
      <c r="AG121"/>
      <c r="AH121"/>
      <c r="AI121"/>
      <c r="AJ121"/>
      <c r="AK121"/>
    </row>
    <row r="122" spans="1:37" s="78" customFormat="1" x14ac:dyDescent="0.35">
      <c r="A122" s="78">
        <v>6001</v>
      </c>
      <c r="B122" s="78" t="s">
        <v>1055</v>
      </c>
      <c r="C122" s="78">
        <v>6000</v>
      </c>
      <c r="D122" s="78" t="s">
        <v>1046</v>
      </c>
      <c r="K122" s="78">
        <v>1</v>
      </c>
      <c r="L122"/>
      <c r="M122" t="str">
        <f t="shared" si="3"/>
        <v>(6001, 'Dark', 6000, 'Color and Transparency', '', '', '', NULL, NULL, NULL, 1, 'Raminder Ahlawat'),</v>
      </c>
      <c r="N122"/>
      <c r="O122" t="str">
        <f t="shared" si="4"/>
        <v>update TEST_RESULT set LBOUND = NULL, UBOUND = NULL WHERE ID = 6001;</v>
      </c>
      <c r="P122"/>
      <c r="Q122"/>
      <c r="R122"/>
      <c r="S122"/>
      <c r="T122"/>
      <c r="U122"/>
      <c r="V122"/>
      <c r="W122"/>
      <c r="X122"/>
      <c r="Y122"/>
      <c r="Z122"/>
      <c r="AA122"/>
      <c r="AB122"/>
      <c r="AC122"/>
      <c r="AD122"/>
      <c r="AE122"/>
      <c r="AF122"/>
      <c r="AG122"/>
      <c r="AH122"/>
      <c r="AI122"/>
      <c r="AJ122"/>
      <c r="AK122"/>
    </row>
    <row r="123" spans="1:37" s="78" customFormat="1" x14ac:dyDescent="0.35">
      <c r="A123" s="78">
        <v>6002</v>
      </c>
      <c r="B123" s="78" t="s">
        <v>1056</v>
      </c>
      <c r="C123" s="78">
        <v>6000</v>
      </c>
      <c r="D123" s="78" t="s">
        <v>1046</v>
      </c>
      <c r="K123" s="78">
        <v>1</v>
      </c>
      <c r="L123"/>
      <c r="M123" t="str">
        <f t="shared" si="3"/>
        <v>(6002, 'Cloudy', 6000, 'Color and Transparency', '', '', '', NULL, NULL, NULL, 1, 'Raminder Ahlawat'),</v>
      </c>
      <c r="N123"/>
      <c r="O123" t="str">
        <f t="shared" si="4"/>
        <v>update TEST_RESULT set LBOUND = NULL, UBOUND = NULL WHERE ID = 6002;</v>
      </c>
      <c r="P123"/>
      <c r="Q123"/>
      <c r="R123"/>
      <c r="S123"/>
      <c r="T123"/>
      <c r="U123"/>
      <c r="V123"/>
      <c r="W123"/>
      <c r="X123"/>
      <c r="Y123"/>
      <c r="Z123"/>
      <c r="AA123"/>
      <c r="AB123"/>
      <c r="AC123"/>
      <c r="AD123"/>
      <c r="AE123"/>
      <c r="AF123"/>
      <c r="AG123"/>
      <c r="AH123"/>
      <c r="AI123"/>
      <c r="AJ123"/>
      <c r="AK123"/>
    </row>
    <row r="124" spans="1:37" s="78" customFormat="1" x14ac:dyDescent="0.35">
      <c r="A124" s="78">
        <v>6010</v>
      </c>
      <c r="B124" s="78" t="s">
        <v>41</v>
      </c>
      <c r="C124" s="78">
        <v>6010</v>
      </c>
      <c r="D124" s="78" t="s">
        <v>1047</v>
      </c>
      <c r="K124" s="78">
        <v>3</v>
      </c>
      <c r="L124"/>
      <c r="M124" t="str">
        <f t="shared" si="3"/>
        <v>(6010, 'Normal', 6010, 'Specific Gravity', '', '', '', NULL, NULL, NULL, 3, 'Raminder Ahlawat'),</v>
      </c>
      <c r="N124"/>
      <c r="O124" t="str">
        <f t="shared" si="4"/>
        <v>update TEST_RESULT set LBOUND = NULL, UBOUND = NULL WHERE ID = 6010;</v>
      </c>
      <c r="P124"/>
      <c r="Q124"/>
      <c r="R124"/>
      <c r="S124"/>
      <c r="T124"/>
      <c r="U124"/>
      <c r="V124"/>
      <c r="W124"/>
      <c r="X124"/>
      <c r="Y124"/>
      <c r="Z124"/>
      <c r="AA124"/>
      <c r="AB124"/>
      <c r="AC124"/>
      <c r="AD124"/>
      <c r="AE124"/>
      <c r="AF124"/>
      <c r="AG124"/>
      <c r="AH124"/>
      <c r="AI124"/>
      <c r="AJ124"/>
      <c r="AK124"/>
    </row>
    <row r="125" spans="1:37" s="82" customFormat="1" ht="15.5" x14ac:dyDescent="0.35">
      <c r="A125" s="82">
        <v>6011</v>
      </c>
      <c r="B125" s="82" t="s">
        <v>1057</v>
      </c>
      <c r="C125" s="78">
        <v>6010</v>
      </c>
      <c r="D125" s="78" t="s">
        <v>1047</v>
      </c>
      <c r="K125" s="82">
        <v>1</v>
      </c>
      <c r="L125"/>
      <c r="M125" t="str">
        <f t="shared" si="3"/>
        <v>(6011, 'High', 6010, 'Specific Gravity', '', '', '', NULL, NULL, NULL, 1, 'Raminder Ahlawat'),</v>
      </c>
      <c r="N125" s="85"/>
      <c r="O125" t="str">
        <f t="shared" si="4"/>
        <v>update TEST_RESULT set LBOUND = NULL, UBOUND = NULL WHERE ID = 6011;</v>
      </c>
      <c r="P125" s="85"/>
      <c r="Q125" s="85"/>
      <c r="R125" s="85"/>
      <c r="S125" s="85"/>
      <c r="T125" s="85"/>
      <c r="U125" s="85"/>
      <c r="V125" s="85"/>
      <c r="W125" s="85"/>
      <c r="X125" s="85"/>
      <c r="Y125" s="85"/>
      <c r="Z125" s="85"/>
      <c r="AA125" s="85"/>
      <c r="AB125" s="85"/>
      <c r="AC125" s="85"/>
      <c r="AD125" s="85"/>
      <c r="AE125" s="85"/>
      <c r="AF125" s="85"/>
      <c r="AG125" s="85"/>
      <c r="AH125" s="85"/>
      <c r="AI125" s="85"/>
      <c r="AJ125" s="85"/>
      <c r="AK125" s="85"/>
    </row>
    <row r="126" spans="1:37" s="78" customFormat="1" ht="15.5" x14ac:dyDescent="0.35">
      <c r="A126" s="78">
        <v>6012</v>
      </c>
      <c r="B126" s="78" t="s">
        <v>1058</v>
      </c>
      <c r="C126" s="82">
        <v>6010</v>
      </c>
      <c r="D126" s="82" t="s">
        <v>1047</v>
      </c>
      <c r="K126" s="78">
        <v>1</v>
      </c>
      <c r="L126"/>
      <c r="M126" t="str">
        <f t="shared" si="3"/>
        <v>(6012, 'Low', 6010, 'Specific Gravity', '', '', '', NULL, NULL, NULL, 1, 'Raminder Ahlawat'),</v>
      </c>
      <c r="N126"/>
      <c r="O126" t="str">
        <f t="shared" si="4"/>
        <v>update TEST_RESULT set LBOUND = NULL, UBOUND = NULL WHERE ID = 6012;</v>
      </c>
      <c r="P126"/>
      <c r="Q126"/>
      <c r="R126"/>
      <c r="S126"/>
      <c r="T126"/>
      <c r="U126"/>
      <c r="V126"/>
      <c r="W126"/>
      <c r="X126"/>
      <c r="Y126"/>
      <c r="Z126"/>
      <c r="AA126"/>
      <c r="AB126"/>
      <c r="AC126"/>
      <c r="AD126"/>
      <c r="AE126"/>
      <c r="AF126"/>
      <c r="AG126"/>
      <c r="AH126"/>
      <c r="AI126"/>
      <c r="AJ126"/>
      <c r="AK126"/>
    </row>
    <row r="127" spans="1:37" s="78" customFormat="1" x14ac:dyDescent="0.35">
      <c r="A127" s="78">
        <v>6020</v>
      </c>
      <c r="B127" s="78" t="s">
        <v>41</v>
      </c>
      <c r="C127" s="78">
        <v>6020</v>
      </c>
      <c r="D127" s="78" t="s">
        <v>1048</v>
      </c>
      <c r="H127" s="78">
        <v>4.5</v>
      </c>
      <c r="I127" s="78">
        <v>8</v>
      </c>
      <c r="K127" s="78">
        <v>3</v>
      </c>
      <c r="L127"/>
      <c r="M127" t="str">
        <f t="shared" si="3"/>
        <v>(6020, 'Normal', 6020, 'pH Level', '', '', '', 4.5, 8, NULL, 3, 'Raminder Ahlawat'),</v>
      </c>
      <c r="N127"/>
      <c r="O127" t="str">
        <f t="shared" si="4"/>
        <v>update TEST_RESULT set LBOUND = 4.5, UBOUND = 8 WHERE ID = 6020;</v>
      </c>
      <c r="P127"/>
      <c r="Q127"/>
      <c r="R127"/>
      <c r="S127"/>
      <c r="T127"/>
      <c r="U127"/>
      <c r="V127"/>
      <c r="W127"/>
      <c r="X127"/>
      <c r="Y127"/>
      <c r="Z127"/>
      <c r="AA127"/>
      <c r="AB127"/>
      <c r="AC127"/>
      <c r="AD127"/>
      <c r="AE127"/>
      <c r="AF127"/>
      <c r="AG127"/>
      <c r="AH127"/>
      <c r="AI127"/>
      <c r="AJ127"/>
      <c r="AK127"/>
    </row>
    <row r="128" spans="1:37" s="78" customFormat="1" x14ac:dyDescent="0.35">
      <c r="A128" s="78">
        <v>6021</v>
      </c>
      <c r="B128" s="78" t="s">
        <v>1059</v>
      </c>
      <c r="C128" s="78">
        <v>6020</v>
      </c>
      <c r="D128" s="78" t="s">
        <v>1048</v>
      </c>
      <c r="I128" s="78">
        <v>4.5</v>
      </c>
      <c r="K128" s="78">
        <v>1</v>
      </c>
      <c r="L128"/>
      <c r="M128" t="str">
        <f t="shared" si="3"/>
        <v>(6021, 'Acidic', 6020, 'pH Level', '', '', '', NULL, 4.5, NULL, 1, 'Raminder Ahlawat'),</v>
      </c>
      <c r="N128"/>
      <c r="O128" t="str">
        <f t="shared" si="4"/>
        <v>update TEST_RESULT set LBOUND = NULL, UBOUND = 4.5 WHERE ID = 6021;</v>
      </c>
      <c r="P128"/>
      <c r="Q128"/>
      <c r="R128"/>
      <c r="S128"/>
      <c r="T128"/>
      <c r="U128"/>
      <c r="V128"/>
      <c r="W128"/>
      <c r="X128"/>
      <c r="Y128"/>
      <c r="Z128"/>
      <c r="AA128"/>
      <c r="AB128"/>
      <c r="AC128"/>
      <c r="AD128"/>
      <c r="AE128"/>
      <c r="AF128"/>
      <c r="AG128"/>
      <c r="AH128"/>
      <c r="AI128"/>
      <c r="AJ128"/>
      <c r="AK128"/>
    </row>
    <row r="129" spans="1:37" s="78" customFormat="1" x14ac:dyDescent="0.35">
      <c r="A129" s="78">
        <v>6022</v>
      </c>
      <c r="B129" s="78" t="s">
        <v>1060</v>
      </c>
      <c r="C129" s="78">
        <v>6020</v>
      </c>
      <c r="D129" s="78" t="s">
        <v>1048</v>
      </c>
      <c r="H129" s="78">
        <v>8</v>
      </c>
      <c r="K129" s="78">
        <v>1</v>
      </c>
      <c r="L129"/>
      <c r="M129" t="str">
        <f t="shared" si="3"/>
        <v>(6022, 'Basic', 6020, 'pH Level', '', '', '', 8, NULL, NULL, 1, 'Raminder Ahlawat'),</v>
      </c>
      <c r="N129"/>
      <c r="O129" t="str">
        <f t="shared" si="4"/>
        <v>update TEST_RESULT set LBOUND = 8, UBOUND = NULL WHERE ID = 6022;</v>
      </c>
      <c r="P129"/>
      <c r="Q129"/>
      <c r="R129"/>
      <c r="S129"/>
      <c r="T129"/>
      <c r="U129"/>
      <c r="V129"/>
      <c r="W129"/>
      <c r="X129"/>
      <c r="Y129"/>
      <c r="Z129"/>
      <c r="AA129"/>
      <c r="AB129"/>
      <c r="AC129"/>
      <c r="AD129"/>
      <c r="AE129"/>
      <c r="AF129"/>
      <c r="AG129"/>
      <c r="AH129"/>
      <c r="AI129"/>
      <c r="AJ129"/>
      <c r="AK129"/>
    </row>
    <row r="130" spans="1:37" s="78" customFormat="1" x14ac:dyDescent="0.35">
      <c r="A130" s="78">
        <v>6030</v>
      </c>
      <c r="B130" s="78" t="s">
        <v>1062</v>
      </c>
      <c r="C130" s="78">
        <v>6030</v>
      </c>
      <c r="D130" s="78" t="s">
        <v>1049</v>
      </c>
      <c r="J130" s="78">
        <v>0</v>
      </c>
      <c r="K130" s="78">
        <v>3</v>
      </c>
      <c r="L130"/>
      <c r="M130" t="str">
        <f t="shared" si="3"/>
        <v>(6030, 'Negative', 6030, 'Protein', '', '', '', NULL, NULL, 0, 3, 'Raminder Ahlawat'),</v>
      </c>
      <c r="N130"/>
      <c r="O130" t="str">
        <f t="shared" si="4"/>
        <v>update TEST_RESULT set LBOUND = NULL, UBOUND = NULL WHERE ID = 6030;</v>
      </c>
      <c r="P130"/>
      <c r="Q130"/>
      <c r="R130"/>
      <c r="S130"/>
      <c r="T130"/>
      <c r="U130"/>
      <c r="V130"/>
      <c r="W130"/>
      <c r="X130"/>
      <c r="Y130"/>
      <c r="Z130"/>
      <c r="AA130"/>
      <c r="AB130"/>
      <c r="AC130"/>
      <c r="AD130"/>
      <c r="AE130"/>
      <c r="AF130"/>
      <c r="AG130"/>
      <c r="AH130"/>
      <c r="AI130"/>
      <c r="AJ130"/>
      <c r="AK130"/>
    </row>
    <row r="131" spans="1:37" s="78" customFormat="1" x14ac:dyDescent="0.35">
      <c r="A131" s="78">
        <v>6031</v>
      </c>
      <c r="B131" s="78" t="s">
        <v>1061</v>
      </c>
      <c r="C131" s="78">
        <v>6030</v>
      </c>
      <c r="D131" s="78" t="s">
        <v>1049</v>
      </c>
      <c r="J131" s="78">
        <v>1</v>
      </c>
      <c r="K131" s="78">
        <v>1</v>
      </c>
      <c r="L131"/>
      <c r="M131" t="str">
        <f t="shared" ref="M131:M151" si="9">CONCATENATE("(", A131,", '",B131,"', ",C131,", '",D131, "', '",E131,"', '", F131, "', '", G131, "', ", IF(H131="", "NULL", H131), ", ", IF(I131="","NULL", I131), ", ", IF(J131="", "NULL", J131), ", ", K131, ", 'Raminder Ahlawat'),")</f>
        <v>(6031, 'Positive', 6030, 'Protein', '', '', '', NULL, NULL, 1, 1, 'Raminder Ahlawat'),</v>
      </c>
      <c r="N131"/>
      <c r="O131" t="str">
        <f t="shared" ref="O131:O151" si="10">CONCATENATE(O$1,IF(H131="", "NULL", H131),", UBOUND = ",IF(I131="", "NULL", I131), " WHERE ID = ",A131,";")</f>
        <v>update TEST_RESULT set LBOUND = NULL, UBOUND = NULL WHERE ID = 6031;</v>
      </c>
      <c r="P131"/>
      <c r="Q131"/>
      <c r="R131"/>
      <c r="S131"/>
      <c r="T131"/>
      <c r="U131"/>
      <c r="V131"/>
      <c r="W131"/>
      <c r="X131"/>
      <c r="Y131"/>
      <c r="Z131"/>
      <c r="AA131"/>
      <c r="AB131"/>
      <c r="AC131"/>
      <c r="AD131"/>
      <c r="AE131"/>
      <c r="AF131"/>
      <c r="AG131"/>
      <c r="AH131"/>
      <c r="AI131"/>
      <c r="AJ131"/>
      <c r="AK131"/>
    </row>
    <row r="132" spans="1:37" s="78" customFormat="1" x14ac:dyDescent="0.35">
      <c r="A132" s="78">
        <v>6040</v>
      </c>
      <c r="B132" s="78" t="s">
        <v>41</v>
      </c>
      <c r="C132" s="78">
        <v>6040</v>
      </c>
      <c r="D132" s="78" t="s">
        <v>58</v>
      </c>
      <c r="I132" s="78">
        <v>1000</v>
      </c>
      <c r="K132" s="78">
        <v>3</v>
      </c>
      <c r="L132"/>
      <c r="M132" t="str">
        <f t="shared" si="9"/>
        <v>(6040, 'Normal', 6040, 'Glucose', '', '', '', NULL, 1000, NULL, 3, 'Raminder Ahlawat'),</v>
      </c>
      <c r="N132"/>
      <c r="O132" t="str">
        <f t="shared" si="10"/>
        <v>update TEST_RESULT set LBOUND = NULL, UBOUND = 1000 WHERE ID = 6040;</v>
      </c>
      <c r="P132"/>
      <c r="Q132"/>
      <c r="R132"/>
      <c r="S132"/>
      <c r="T132"/>
      <c r="U132"/>
      <c r="V132"/>
      <c r="W132"/>
      <c r="X132"/>
      <c r="Y132"/>
      <c r="Z132"/>
      <c r="AA132"/>
      <c r="AB132"/>
      <c r="AC132"/>
      <c r="AD132"/>
      <c r="AE132"/>
      <c r="AF132"/>
      <c r="AG132"/>
      <c r="AH132"/>
      <c r="AI132"/>
      <c r="AJ132"/>
      <c r="AK132"/>
    </row>
    <row r="133" spans="1:37" s="78" customFormat="1" x14ac:dyDescent="0.35">
      <c r="A133" s="78">
        <v>6041</v>
      </c>
      <c r="B133" s="78" t="s">
        <v>1057</v>
      </c>
      <c r="C133" s="78">
        <v>6040</v>
      </c>
      <c r="D133" s="78" t="s">
        <v>58</v>
      </c>
      <c r="H133" s="78">
        <v>1000</v>
      </c>
      <c r="K133" s="78">
        <v>1</v>
      </c>
      <c r="L133"/>
      <c r="M133" t="str">
        <f t="shared" si="9"/>
        <v>(6041, 'High', 6040, 'Glucose', '', '', '', 1000, NULL, NULL, 1, 'Raminder Ahlawat'),</v>
      </c>
      <c r="N133"/>
      <c r="O133" t="str">
        <f t="shared" si="10"/>
        <v>update TEST_RESULT set LBOUND = 1000, UBOUND = NULL WHERE ID = 6041;</v>
      </c>
      <c r="P133"/>
      <c r="Q133"/>
      <c r="R133"/>
      <c r="S133"/>
      <c r="T133"/>
      <c r="U133"/>
      <c r="V133"/>
      <c r="W133"/>
      <c r="X133"/>
      <c r="Y133"/>
      <c r="Z133"/>
      <c r="AA133"/>
      <c r="AB133"/>
      <c r="AC133"/>
      <c r="AD133"/>
      <c r="AE133"/>
      <c r="AF133"/>
      <c r="AG133"/>
      <c r="AH133"/>
      <c r="AI133"/>
      <c r="AJ133"/>
      <c r="AK133"/>
    </row>
    <row r="134" spans="1:37" s="78" customFormat="1" x14ac:dyDescent="0.35">
      <c r="A134" s="78">
        <v>6050</v>
      </c>
      <c r="B134" s="78" t="s">
        <v>1062</v>
      </c>
      <c r="C134" s="78">
        <v>6050</v>
      </c>
      <c r="D134" s="78" t="s">
        <v>1050</v>
      </c>
      <c r="J134" s="78">
        <v>0</v>
      </c>
      <c r="K134" s="78">
        <v>3</v>
      </c>
      <c r="L134"/>
      <c r="M134" t="str">
        <f t="shared" si="9"/>
        <v>(6050, 'Negative', 6050, 'Ketones', '', '', '', NULL, NULL, 0, 3, 'Raminder Ahlawat'),</v>
      </c>
      <c r="N134"/>
      <c r="O134" t="str">
        <f t="shared" si="10"/>
        <v>update TEST_RESULT set LBOUND = NULL, UBOUND = NULL WHERE ID = 6050;</v>
      </c>
      <c r="P134"/>
      <c r="Q134"/>
      <c r="R134"/>
      <c r="S134"/>
      <c r="T134"/>
      <c r="U134"/>
      <c r="V134"/>
      <c r="W134"/>
      <c r="X134"/>
      <c r="Y134"/>
      <c r="Z134"/>
      <c r="AA134"/>
      <c r="AB134"/>
      <c r="AC134"/>
      <c r="AD134"/>
      <c r="AE134"/>
      <c r="AF134"/>
      <c r="AG134"/>
      <c r="AH134"/>
      <c r="AI134"/>
      <c r="AJ134"/>
      <c r="AK134"/>
    </row>
    <row r="135" spans="1:37" s="78" customFormat="1" x14ac:dyDescent="0.35">
      <c r="A135" s="78">
        <v>6051</v>
      </c>
      <c r="B135" s="78" t="s">
        <v>1061</v>
      </c>
      <c r="C135" s="78">
        <v>6050</v>
      </c>
      <c r="D135" s="78" t="s">
        <v>1050</v>
      </c>
      <c r="J135" s="78">
        <v>1</v>
      </c>
      <c r="K135" s="78">
        <v>1</v>
      </c>
      <c r="L135"/>
      <c r="M135" t="str">
        <f t="shared" si="9"/>
        <v>(6051, 'Positive', 6050, 'Ketones', '', '', '', NULL, NULL, 1, 1, 'Raminder Ahlawat'),</v>
      </c>
      <c r="N135"/>
      <c r="O135" t="str">
        <f t="shared" si="10"/>
        <v>update TEST_RESULT set LBOUND = NULL, UBOUND = NULL WHERE ID = 6051;</v>
      </c>
      <c r="P135"/>
      <c r="Q135"/>
      <c r="R135"/>
      <c r="S135"/>
      <c r="T135"/>
      <c r="U135"/>
      <c r="V135"/>
      <c r="W135"/>
      <c r="X135"/>
      <c r="Y135"/>
      <c r="Z135"/>
      <c r="AA135"/>
      <c r="AB135"/>
      <c r="AC135"/>
      <c r="AD135"/>
      <c r="AE135"/>
      <c r="AF135"/>
      <c r="AG135"/>
      <c r="AH135"/>
      <c r="AI135"/>
      <c r="AJ135"/>
      <c r="AK135"/>
    </row>
    <row r="136" spans="1:37" s="78" customFormat="1" x14ac:dyDescent="0.35">
      <c r="A136" s="78">
        <v>6060</v>
      </c>
      <c r="B136" s="78" t="s">
        <v>1062</v>
      </c>
      <c r="C136" s="78">
        <v>6060</v>
      </c>
      <c r="D136" s="78" t="s">
        <v>1051</v>
      </c>
      <c r="J136" s="78">
        <v>0</v>
      </c>
      <c r="K136" s="78">
        <v>3</v>
      </c>
      <c r="L136"/>
      <c r="M136" t="str">
        <f t="shared" si="9"/>
        <v>(6060, 'Negative', 6060, 'Blood', '', '', '', NULL, NULL, 0, 3, 'Raminder Ahlawat'),</v>
      </c>
      <c r="N136"/>
      <c r="O136" t="str">
        <f t="shared" si="10"/>
        <v>update TEST_RESULT set LBOUND = NULL, UBOUND = NULL WHERE ID = 6060;</v>
      </c>
      <c r="P136"/>
      <c r="Q136"/>
      <c r="R136"/>
      <c r="S136"/>
      <c r="T136"/>
      <c r="U136"/>
      <c r="V136"/>
      <c r="W136"/>
      <c r="X136"/>
      <c r="Y136"/>
      <c r="Z136"/>
      <c r="AA136"/>
      <c r="AB136"/>
      <c r="AC136"/>
      <c r="AD136"/>
      <c r="AE136"/>
      <c r="AF136"/>
      <c r="AG136"/>
      <c r="AH136"/>
      <c r="AI136"/>
      <c r="AJ136"/>
      <c r="AK136"/>
    </row>
    <row r="137" spans="1:37" s="78" customFormat="1" x14ac:dyDescent="0.35">
      <c r="A137" s="78">
        <v>6061</v>
      </c>
      <c r="B137" s="78" t="s">
        <v>1061</v>
      </c>
      <c r="C137" s="78">
        <v>6060</v>
      </c>
      <c r="D137" s="78" t="s">
        <v>1051</v>
      </c>
      <c r="J137" s="78">
        <v>1</v>
      </c>
      <c r="K137" s="78">
        <v>1</v>
      </c>
      <c r="L137"/>
      <c r="M137" t="str">
        <f t="shared" si="9"/>
        <v>(6061, 'Positive', 6060, 'Blood', '', '', '', NULL, NULL, 1, 1, 'Raminder Ahlawat'),</v>
      </c>
      <c r="N137"/>
      <c r="O137" t="str">
        <f t="shared" si="10"/>
        <v>update TEST_RESULT set LBOUND = NULL, UBOUND = NULL WHERE ID = 6061;</v>
      </c>
      <c r="P137"/>
      <c r="Q137"/>
      <c r="R137"/>
      <c r="S137"/>
      <c r="T137"/>
      <c r="U137"/>
      <c r="V137"/>
      <c r="W137"/>
      <c r="X137"/>
      <c r="Y137"/>
      <c r="Z137"/>
      <c r="AA137"/>
      <c r="AB137"/>
      <c r="AC137"/>
      <c r="AD137"/>
      <c r="AE137"/>
      <c r="AF137"/>
      <c r="AG137"/>
      <c r="AH137"/>
      <c r="AI137"/>
      <c r="AJ137"/>
      <c r="AK137"/>
    </row>
    <row r="138" spans="1:37" s="78" customFormat="1" x14ac:dyDescent="0.35">
      <c r="A138" s="78">
        <v>6070</v>
      </c>
      <c r="B138" s="78" t="s">
        <v>1062</v>
      </c>
      <c r="C138" s="78">
        <v>6070</v>
      </c>
      <c r="D138" s="78" t="s">
        <v>943</v>
      </c>
      <c r="J138" s="78">
        <v>0</v>
      </c>
      <c r="K138" s="78">
        <v>3</v>
      </c>
      <c r="L138"/>
      <c r="M138" t="str">
        <f t="shared" si="9"/>
        <v>(6070, 'Negative', 6070, 'Bilirubin', '', '', '', NULL, NULL, 0, 3, 'Raminder Ahlawat'),</v>
      </c>
      <c r="N138"/>
      <c r="O138" t="str">
        <f t="shared" si="10"/>
        <v>update TEST_RESULT set LBOUND = NULL, UBOUND = NULL WHERE ID = 6070;</v>
      </c>
      <c r="P138"/>
      <c r="Q138"/>
      <c r="R138"/>
      <c r="S138"/>
      <c r="T138"/>
      <c r="U138"/>
      <c r="V138"/>
      <c r="W138"/>
      <c r="X138"/>
      <c r="Y138"/>
      <c r="Z138"/>
      <c r="AA138"/>
      <c r="AB138"/>
      <c r="AC138"/>
      <c r="AD138"/>
      <c r="AE138"/>
      <c r="AF138"/>
      <c r="AG138"/>
      <c r="AH138"/>
      <c r="AI138"/>
      <c r="AJ138"/>
      <c r="AK138"/>
    </row>
    <row r="139" spans="1:37" s="78" customFormat="1" x14ac:dyDescent="0.35">
      <c r="A139" s="78">
        <v>6071</v>
      </c>
      <c r="B139" s="78" t="s">
        <v>1061</v>
      </c>
      <c r="C139" s="78">
        <v>6070</v>
      </c>
      <c r="D139" s="78" t="s">
        <v>943</v>
      </c>
      <c r="J139" s="78">
        <v>1</v>
      </c>
      <c r="K139" s="78">
        <v>1</v>
      </c>
      <c r="L139"/>
      <c r="M139" t="str">
        <f t="shared" si="9"/>
        <v>(6071, 'Positive', 6070, 'Bilirubin', '', '', '', NULL, NULL, 1, 1, 'Raminder Ahlawat'),</v>
      </c>
      <c r="N139"/>
      <c r="O139" t="str">
        <f t="shared" si="10"/>
        <v>update TEST_RESULT set LBOUND = NULL, UBOUND = NULL WHERE ID = 6071;</v>
      </c>
      <c r="P139"/>
      <c r="Q139"/>
      <c r="R139"/>
      <c r="S139"/>
      <c r="T139"/>
      <c r="U139"/>
      <c r="V139"/>
      <c r="W139"/>
      <c r="X139"/>
      <c r="Y139"/>
      <c r="Z139"/>
      <c r="AA139"/>
      <c r="AB139"/>
      <c r="AC139"/>
      <c r="AD139"/>
      <c r="AE139"/>
      <c r="AF139"/>
      <c r="AG139"/>
      <c r="AH139"/>
      <c r="AI139"/>
      <c r="AJ139"/>
      <c r="AK139"/>
    </row>
    <row r="140" spans="1:37" x14ac:dyDescent="0.35">
      <c r="A140" s="80">
        <v>7000</v>
      </c>
      <c r="B140" s="80" t="s">
        <v>1078</v>
      </c>
      <c r="C140" s="80">
        <v>7000</v>
      </c>
      <c r="D140" s="80" t="s">
        <v>1071</v>
      </c>
      <c r="E140" s="80"/>
      <c r="F140" s="80"/>
      <c r="G140" s="80"/>
      <c r="H140" s="80"/>
      <c r="I140" s="80">
        <v>10</v>
      </c>
      <c r="J140" s="80"/>
      <c r="K140" s="80">
        <v>1</v>
      </c>
      <c r="M140" t="str">
        <f t="shared" si="9"/>
        <v>(7000, 'Anemia', 7000, 'Ferritin', '', '', '', NULL, 10, NULL, 1, 'Raminder Ahlawat'),</v>
      </c>
      <c r="O140" t="str">
        <f t="shared" si="10"/>
        <v>update TEST_RESULT set LBOUND = NULL, UBOUND = 10 WHERE ID = 7000;</v>
      </c>
    </row>
    <row r="141" spans="1:37" x14ac:dyDescent="0.35">
      <c r="A141" s="80">
        <v>7001</v>
      </c>
      <c r="B141" s="80" t="s">
        <v>1085</v>
      </c>
      <c r="C141" s="80">
        <v>7000</v>
      </c>
      <c r="D141" s="80" t="s">
        <v>1071</v>
      </c>
      <c r="E141" s="80">
        <v>100</v>
      </c>
      <c r="F141" s="80" t="s">
        <v>171</v>
      </c>
      <c r="G141" s="80" t="s">
        <v>960</v>
      </c>
      <c r="H141" s="80">
        <v>40</v>
      </c>
      <c r="I141" s="80"/>
      <c r="J141" s="80"/>
      <c r="K141" s="80">
        <v>3</v>
      </c>
      <c r="M141" t="str">
        <f t="shared" si="9"/>
        <v>(7001, 'Normal (Ferritin)', 7000, 'Ferritin', '100', 'Gender', '["Man"]', 40, NULL, NULL, 3, 'Raminder Ahlawat'),</v>
      </c>
      <c r="O141" t="str">
        <f t="shared" si="10"/>
        <v>update TEST_RESULT set LBOUND = 40, UBOUND = NULL WHERE ID = 7001;</v>
      </c>
    </row>
    <row r="142" spans="1:37" x14ac:dyDescent="0.35">
      <c r="A142" s="80">
        <v>7003</v>
      </c>
      <c r="B142" s="80" t="s">
        <v>1085</v>
      </c>
      <c r="C142" s="80">
        <v>7000</v>
      </c>
      <c r="D142" s="80" t="s">
        <v>1071</v>
      </c>
      <c r="E142" s="80">
        <v>100</v>
      </c>
      <c r="F142" s="80" t="s">
        <v>171</v>
      </c>
      <c r="G142" s="80" t="s">
        <v>961</v>
      </c>
      <c r="H142" s="80">
        <v>20</v>
      </c>
      <c r="I142" s="80"/>
      <c r="J142" s="80"/>
      <c r="K142" s="80">
        <v>3</v>
      </c>
      <c r="M142" t="str">
        <f t="shared" si="9"/>
        <v>(7003, 'Normal (Ferritin)', 7000, 'Ferritin', '100', 'Gender', '["Woman"]', 20, NULL, NULL, 3, 'Raminder Ahlawat'),</v>
      </c>
      <c r="O142" t="str">
        <f t="shared" si="10"/>
        <v>update TEST_RESULT set LBOUND = 20, UBOUND = NULL WHERE ID = 7003;</v>
      </c>
    </row>
    <row r="143" spans="1:37" x14ac:dyDescent="0.35">
      <c r="A143" s="80">
        <v>7004</v>
      </c>
      <c r="B143" s="80" t="s">
        <v>1079</v>
      </c>
      <c r="C143" s="80">
        <v>7000</v>
      </c>
      <c r="D143" s="80" t="s">
        <v>1071</v>
      </c>
      <c r="E143" s="80">
        <v>100</v>
      </c>
      <c r="F143" s="80" t="s">
        <v>171</v>
      </c>
      <c r="G143" s="80" t="s">
        <v>960</v>
      </c>
      <c r="H143" s="80">
        <v>10</v>
      </c>
      <c r="I143" s="80">
        <v>40</v>
      </c>
      <c r="J143" s="80"/>
      <c r="K143" s="80">
        <v>2</v>
      </c>
      <c r="M143" t="str">
        <f t="shared" si="9"/>
        <v>(7004, 'Low (Ferritin)', 7000, 'Ferritin', '100', 'Gender', '["Man"]', 10, 40, NULL, 2, 'Raminder Ahlawat'),</v>
      </c>
      <c r="O143" t="str">
        <f t="shared" si="10"/>
        <v>update TEST_RESULT set LBOUND = 10, UBOUND = 40 WHERE ID = 7004;</v>
      </c>
    </row>
    <row r="144" spans="1:37" x14ac:dyDescent="0.35">
      <c r="A144" s="80">
        <v>7005</v>
      </c>
      <c r="B144" s="80" t="s">
        <v>1079</v>
      </c>
      <c r="C144" s="80">
        <v>7000</v>
      </c>
      <c r="D144" s="80" t="s">
        <v>1071</v>
      </c>
      <c r="E144" s="80">
        <v>100</v>
      </c>
      <c r="F144" s="80" t="s">
        <v>171</v>
      </c>
      <c r="G144" s="80" t="s">
        <v>961</v>
      </c>
      <c r="H144" s="80">
        <v>10</v>
      </c>
      <c r="I144" s="80">
        <v>20</v>
      </c>
      <c r="J144" s="80"/>
      <c r="K144" s="80">
        <v>2</v>
      </c>
      <c r="M144" t="str">
        <f t="shared" si="9"/>
        <v>(7005, 'Low (Ferritin)', 7000, 'Ferritin', '100', 'Gender', '["Woman"]', 10, 20, NULL, 2, 'Raminder Ahlawat'),</v>
      </c>
      <c r="O144" t="str">
        <f t="shared" si="10"/>
        <v>update TEST_RESULT set LBOUND = 10, UBOUND = 20 WHERE ID = 7005;</v>
      </c>
    </row>
    <row r="145" spans="1:15" x14ac:dyDescent="0.35">
      <c r="A145" s="80">
        <v>7010</v>
      </c>
      <c r="B145" s="80" t="s">
        <v>1082</v>
      </c>
      <c r="C145" s="80">
        <v>7010</v>
      </c>
      <c r="D145" s="80" t="s">
        <v>1072</v>
      </c>
      <c r="E145" s="80"/>
      <c r="F145" s="80"/>
      <c r="G145" s="80"/>
      <c r="H145" s="80">
        <v>10</v>
      </c>
      <c r="I145" s="80"/>
      <c r="J145" s="80"/>
      <c r="K145" s="80">
        <v>3</v>
      </c>
      <c r="M145" t="str">
        <f t="shared" si="9"/>
        <v>(7010, 'Normal (Iron)', 7010, 'Iron', '', '', '', 10, NULL, NULL, 3, 'Raminder Ahlawat'),</v>
      </c>
      <c r="O145" t="str">
        <f t="shared" si="10"/>
        <v>update TEST_RESULT set LBOUND = 10, UBOUND = NULL WHERE ID = 7010;</v>
      </c>
    </row>
    <row r="146" spans="1:15" x14ac:dyDescent="0.35">
      <c r="A146" s="80">
        <v>7011</v>
      </c>
      <c r="B146" s="80" t="s">
        <v>1080</v>
      </c>
      <c r="C146" s="80">
        <v>7010</v>
      </c>
      <c r="D146" s="80" t="s">
        <v>1072</v>
      </c>
      <c r="E146" s="80"/>
      <c r="F146" s="80"/>
      <c r="G146" s="80"/>
      <c r="H146" s="80"/>
      <c r="I146" s="80">
        <v>10</v>
      </c>
      <c r="J146" s="80"/>
      <c r="K146" s="80">
        <v>1</v>
      </c>
      <c r="M146" t="str">
        <f t="shared" si="9"/>
        <v>(7011, 'Low (Iron)', 7010, 'Iron', '', '', '', NULL, 10, NULL, 1, 'Raminder Ahlawat'),</v>
      </c>
      <c r="O146" t="str">
        <f t="shared" si="10"/>
        <v>update TEST_RESULT set LBOUND = NULL, UBOUND = 10 WHERE ID = 7011;</v>
      </c>
    </row>
    <row r="147" spans="1:15" x14ac:dyDescent="0.35">
      <c r="A147" s="80">
        <v>7020</v>
      </c>
      <c r="B147" s="80" t="s">
        <v>1083</v>
      </c>
      <c r="C147" s="80">
        <v>7020</v>
      </c>
      <c r="D147" s="80" t="s">
        <v>1073</v>
      </c>
      <c r="E147" s="80"/>
      <c r="F147" s="80"/>
      <c r="G147" s="80"/>
      <c r="H147" s="80">
        <v>0.5</v>
      </c>
      <c r="I147" s="80">
        <v>2.5</v>
      </c>
      <c r="J147" s="80"/>
      <c r="K147" s="80">
        <v>3</v>
      </c>
      <c r="M147" t="str">
        <f t="shared" si="9"/>
        <v>(7020, 'Normal (Reticulocytes)', 7020, 'Reticulocytes', '', '', '', 0.5, 2.5, NULL, 3, 'Raminder Ahlawat'),</v>
      </c>
      <c r="O147" t="str">
        <f t="shared" si="10"/>
        <v>update TEST_RESULT set LBOUND = 0.5, UBOUND = 2.5 WHERE ID = 7020;</v>
      </c>
    </row>
    <row r="148" spans="1:15" x14ac:dyDescent="0.35">
      <c r="A148" s="80">
        <v>7021</v>
      </c>
      <c r="B148" s="80" t="s">
        <v>1081</v>
      </c>
      <c r="C148" s="80">
        <v>7020</v>
      </c>
      <c r="D148" s="80" t="s">
        <v>1073</v>
      </c>
      <c r="E148" s="80"/>
      <c r="F148" s="80"/>
      <c r="G148" s="80"/>
      <c r="H148" s="80"/>
      <c r="I148" s="80">
        <v>0.5</v>
      </c>
      <c r="J148" s="80"/>
      <c r="K148" s="80">
        <v>1</v>
      </c>
      <c r="M148" t="str">
        <f t="shared" si="9"/>
        <v>(7021, 'Low (Reticulocytes)', 7020, 'Reticulocytes', '', '', '', NULL, 0.5, NULL, 1, 'Raminder Ahlawat'),</v>
      </c>
      <c r="O148" t="str">
        <f t="shared" si="10"/>
        <v>update TEST_RESULT set LBOUND = NULL, UBOUND = 0.5 WHERE ID = 7021;</v>
      </c>
    </row>
    <row r="149" spans="1:15" x14ac:dyDescent="0.35">
      <c r="A149" s="80">
        <v>7022</v>
      </c>
      <c r="B149" s="80" t="s">
        <v>1086</v>
      </c>
      <c r="C149" s="80">
        <v>7020</v>
      </c>
      <c r="D149" s="80" t="s">
        <v>1073</v>
      </c>
      <c r="E149" s="80"/>
      <c r="F149" s="80"/>
      <c r="G149" s="80"/>
      <c r="H149" s="80">
        <v>2.5</v>
      </c>
      <c r="I149" s="80"/>
      <c r="J149" s="80"/>
      <c r="K149" s="80">
        <v>1</v>
      </c>
      <c r="M149" t="str">
        <f t="shared" si="9"/>
        <v>(7022, 'High (Reticulocytes)', 7020, 'Reticulocytes', '', '', '', 2.5, NULL, NULL, 1, 'Raminder Ahlawat'),</v>
      </c>
      <c r="O149" t="str">
        <f t="shared" si="10"/>
        <v>update TEST_RESULT set LBOUND = 2.5, UBOUND = NULL WHERE ID = 7022;</v>
      </c>
    </row>
    <row r="150" spans="1:15" x14ac:dyDescent="0.35">
      <c r="A150" s="80">
        <v>7030</v>
      </c>
      <c r="B150" s="80" t="s">
        <v>1084</v>
      </c>
      <c r="C150" s="80">
        <v>7030</v>
      </c>
      <c r="D150" s="80" t="s">
        <v>1074</v>
      </c>
      <c r="E150" s="80"/>
      <c r="F150" s="80"/>
      <c r="G150" s="80"/>
      <c r="H150" s="80"/>
      <c r="I150" s="80"/>
      <c r="J150" s="80"/>
      <c r="K150" s="80">
        <v>3</v>
      </c>
      <c r="M150" t="str">
        <f t="shared" si="9"/>
        <v>(7030, 'Normal (Blood Smear)', 7030, 'Blood Smear', '', '', '', NULL, NULL, NULL, 3, 'Raminder Ahlawat'),</v>
      </c>
      <c r="O150" t="str">
        <f t="shared" si="10"/>
        <v>update TEST_RESULT set LBOUND = NULL, UBOUND = NULL WHERE ID = 7030;</v>
      </c>
    </row>
    <row r="151" spans="1:15" x14ac:dyDescent="0.35">
      <c r="A151" s="80">
        <v>7031</v>
      </c>
      <c r="B151" s="80" t="s">
        <v>1087</v>
      </c>
      <c r="C151" s="80">
        <v>7030</v>
      </c>
      <c r="D151" s="80" t="s">
        <v>1074</v>
      </c>
      <c r="E151" s="80"/>
      <c r="F151" s="80"/>
      <c r="G151" s="80"/>
      <c r="H151" s="80"/>
      <c r="I151" s="80"/>
      <c r="J151" s="80"/>
      <c r="K151" s="80">
        <v>1</v>
      </c>
      <c r="M151" t="str">
        <f t="shared" si="9"/>
        <v>(7031, 'Abnormal (Blood Snear)', 7030, 'Blood Smear', '', '', '', NULL, NULL, NULL, 1, 'Raminder Ahlawat'),</v>
      </c>
      <c r="O151" t="str">
        <f t="shared" si="10"/>
        <v>update TEST_RESULT set LBOUND = NULL, UBOUND = NULL WHERE ID = 7031;</v>
      </c>
    </row>
  </sheetData>
  <autoFilter ref="A1:K151" xr:uid="{B055F814-FBA3-4549-9154-E836EF354AD4}"/>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17E94-E516-48A0-AEAF-A3C75DDB165B}">
  <dimension ref="A1:I53"/>
  <sheetViews>
    <sheetView zoomScale="86" zoomScaleNormal="86" workbookViewId="0">
      <selection activeCell="C3" sqref="C3:C4"/>
    </sheetView>
  </sheetViews>
  <sheetFormatPr defaultRowHeight="14.5" x14ac:dyDescent="0.35"/>
  <cols>
    <col min="2" max="2" width="23.26953125" customWidth="1"/>
    <col min="3" max="3" width="22.453125" bestFit="1" customWidth="1"/>
    <col min="4" max="4" width="29.6328125" bestFit="1" customWidth="1"/>
    <col min="5" max="5" width="30.90625" bestFit="1" customWidth="1"/>
    <col min="6" max="6" width="29.6328125" bestFit="1" customWidth="1"/>
    <col min="7" max="7" width="30.90625" bestFit="1" customWidth="1"/>
  </cols>
  <sheetData>
    <row r="1" spans="1:9" x14ac:dyDescent="0.35">
      <c r="A1" t="s">
        <v>148</v>
      </c>
      <c r="B1" t="s">
        <v>1117</v>
      </c>
      <c r="C1" t="s">
        <v>1064</v>
      </c>
      <c r="D1" t="s">
        <v>1043</v>
      </c>
      <c r="E1" t="s">
        <v>1044</v>
      </c>
      <c r="F1" t="s">
        <v>152</v>
      </c>
      <c r="G1" t="s">
        <v>222</v>
      </c>
    </row>
    <row r="2" spans="1:9" x14ac:dyDescent="0.35">
      <c r="A2">
        <v>1</v>
      </c>
      <c r="B2">
        <v>6000</v>
      </c>
      <c r="C2">
        <v>6000</v>
      </c>
      <c r="I2" t="str">
        <f>CONCATENATE("INSERT INTO  TEST_TRIGGER (BUNDLE_ID, PARENT_TEST_ID, PARENT_RESULT_ID, PARENT_QUESTION_ID, PARENT_RESPONSE_ID) VALUES (", C2,", ", IF(D2 = "", "NULL", D2), ", ", IF(E2 = "", "NULL", E2), ", ", IF(F2 = "", "NULL", F2), ", ", IF(G2 = "", "NULL", G2), ");")</f>
        <v>INSERT INTO  TEST_TRIGGER (BUNDLE_ID, PARENT_TEST_ID, PARENT_RESULT_ID, PARENT_QUESTION_ID, PARENT_RESPONSE_ID) VALUES (6000, NULL, NULL, NULL, NULL);</v>
      </c>
    </row>
    <row r="3" spans="1:9" x14ac:dyDescent="0.35">
      <c r="A3">
        <v>2</v>
      </c>
      <c r="C3">
        <v>5000</v>
      </c>
      <c r="F3">
        <v>1000</v>
      </c>
      <c r="G3">
        <v>1002</v>
      </c>
      <c r="I3" t="str">
        <f t="shared" ref="I3:I53" si="0">CONCATENATE("INSERT INTO  TEST_TRIGGER (BUNDLE_ID, PARENT_TEST_ID, PARENT_RESULT_ID, PARENT_QUESTION_ID, PARENT_RESPONSE_ID) VALUES (", C3,", ", IF(D3 = "", "NULL", D3), ", ", IF(E3 = "", "NULL", E3), ", ", IF(F3 = "", "NULL", F3), ", ", IF(G3 = "", "NULL", G3), ");")</f>
        <v>INSERT INTO  TEST_TRIGGER (BUNDLE_ID, PARENT_TEST_ID, PARENT_RESULT_ID, PARENT_QUESTION_ID, PARENT_RESPONSE_ID) VALUES (5000, NULL, NULL, 1000, 1002);</v>
      </c>
    </row>
    <row r="4" spans="1:9" x14ac:dyDescent="0.35">
      <c r="A4">
        <v>3</v>
      </c>
      <c r="C4">
        <v>5000</v>
      </c>
      <c r="F4">
        <v>1000</v>
      </c>
      <c r="G4">
        <v>1003</v>
      </c>
      <c r="I4" t="str">
        <f t="shared" si="0"/>
        <v>INSERT INTO  TEST_TRIGGER (BUNDLE_ID, PARENT_TEST_ID, PARENT_RESULT_ID, PARENT_QUESTION_ID, PARENT_RESPONSE_ID) VALUES (5000, NULL, NULL, 1000, 1003);</v>
      </c>
    </row>
    <row r="5" spans="1:9" x14ac:dyDescent="0.35">
      <c r="A5">
        <v>4</v>
      </c>
      <c r="C5">
        <v>5000</v>
      </c>
      <c r="F5">
        <v>11000</v>
      </c>
      <c r="G5">
        <v>11002</v>
      </c>
      <c r="I5" t="str">
        <f t="shared" si="0"/>
        <v>INSERT INTO  TEST_TRIGGER (BUNDLE_ID, PARENT_TEST_ID, PARENT_RESULT_ID, PARENT_QUESTION_ID, PARENT_RESPONSE_ID) VALUES (5000, NULL, NULL, 11000, 11002);</v>
      </c>
    </row>
    <row r="6" spans="1:9" x14ac:dyDescent="0.35">
      <c r="A6">
        <v>5</v>
      </c>
      <c r="C6">
        <v>5000</v>
      </c>
      <c r="F6">
        <v>11000</v>
      </c>
      <c r="G6">
        <v>11003</v>
      </c>
      <c r="I6" t="str">
        <f t="shared" si="0"/>
        <v>INSERT INTO  TEST_TRIGGER (BUNDLE_ID, PARENT_TEST_ID, PARENT_RESULT_ID, PARENT_QUESTION_ID, PARENT_RESPONSE_ID) VALUES (5000, NULL, NULL, 11000, 11003);</v>
      </c>
    </row>
    <row r="7" spans="1:9" x14ac:dyDescent="0.35">
      <c r="A7">
        <v>6</v>
      </c>
      <c r="C7">
        <v>5000</v>
      </c>
      <c r="F7">
        <v>5000</v>
      </c>
      <c r="G7">
        <v>5003</v>
      </c>
      <c r="I7" t="str">
        <f t="shared" si="0"/>
        <v>INSERT INTO  TEST_TRIGGER (BUNDLE_ID, PARENT_TEST_ID, PARENT_RESULT_ID, PARENT_QUESTION_ID, PARENT_RESPONSE_ID) VALUES (5000, NULL, NULL, 5000, 5003);</v>
      </c>
    </row>
    <row r="8" spans="1:9" x14ac:dyDescent="0.35">
      <c r="A8">
        <v>7</v>
      </c>
      <c r="C8">
        <v>5000</v>
      </c>
      <c r="F8">
        <v>12000</v>
      </c>
      <c r="G8">
        <v>12002</v>
      </c>
      <c r="I8" t="str">
        <f t="shared" si="0"/>
        <v>INSERT INTO  TEST_TRIGGER (BUNDLE_ID, PARENT_TEST_ID, PARENT_RESULT_ID, PARENT_QUESTION_ID, PARENT_RESPONSE_ID) VALUES (5000, NULL, NULL, 12000, 12002);</v>
      </c>
    </row>
    <row r="9" spans="1:9" x14ac:dyDescent="0.35">
      <c r="A9">
        <v>8</v>
      </c>
      <c r="C9">
        <v>5000</v>
      </c>
      <c r="F9">
        <v>12000</v>
      </c>
      <c r="G9">
        <v>12003</v>
      </c>
      <c r="I9" t="str">
        <f t="shared" si="0"/>
        <v>INSERT INTO  TEST_TRIGGER (BUNDLE_ID, PARENT_TEST_ID, PARENT_RESULT_ID, PARENT_QUESTION_ID, PARENT_RESPONSE_ID) VALUES (5000, NULL, NULL, 12000, 12003);</v>
      </c>
    </row>
    <row r="10" spans="1:9" x14ac:dyDescent="0.35">
      <c r="A10">
        <v>9</v>
      </c>
      <c r="C10">
        <v>5000</v>
      </c>
      <c r="F10">
        <v>14000</v>
      </c>
      <c r="G10">
        <v>14003</v>
      </c>
      <c r="I10" t="str">
        <f t="shared" si="0"/>
        <v>INSERT INTO  TEST_TRIGGER (BUNDLE_ID, PARENT_TEST_ID, PARENT_RESULT_ID, PARENT_QUESTION_ID, PARENT_RESPONSE_ID) VALUES (5000, NULL, NULL, 14000, 14003);</v>
      </c>
    </row>
    <row r="11" spans="1:9" x14ac:dyDescent="0.35">
      <c r="A11">
        <v>10</v>
      </c>
      <c r="C11">
        <v>1000</v>
      </c>
      <c r="F11">
        <v>4000</v>
      </c>
      <c r="G11">
        <v>4002</v>
      </c>
      <c r="I11" t="str">
        <f t="shared" si="0"/>
        <v>INSERT INTO  TEST_TRIGGER (BUNDLE_ID, PARENT_TEST_ID, PARENT_RESULT_ID, PARENT_QUESTION_ID, PARENT_RESPONSE_ID) VALUES (1000, NULL, NULL, 4000, 4002);</v>
      </c>
    </row>
    <row r="12" spans="1:9" x14ac:dyDescent="0.35">
      <c r="C12">
        <v>1000</v>
      </c>
      <c r="F12">
        <v>4000</v>
      </c>
      <c r="G12">
        <v>4003</v>
      </c>
      <c r="I12" t="str">
        <f t="shared" si="0"/>
        <v>INSERT INTO  TEST_TRIGGER (BUNDLE_ID, PARENT_TEST_ID, PARENT_RESULT_ID, PARENT_QUESTION_ID, PARENT_RESPONSE_ID) VALUES (1000, NULL, NULL, 4000, 4003);</v>
      </c>
    </row>
    <row r="13" spans="1:9" x14ac:dyDescent="0.35">
      <c r="C13">
        <v>1000</v>
      </c>
      <c r="F13">
        <v>9000</v>
      </c>
      <c r="G13">
        <v>9002</v>
      </c>
      <c r="I13" t="str">
        <f t="shared" si="0"/>
        <v>INSERT INTO  TEST_TRIGGER (BUNDLE_ID, PARENT_TEST_ID, PARENT_RESULT_ID, PARENT_QUESTION_ID, PARENT_RESPONSE_ID) VALUES (1000, NULL, NULL, 9000, 9002);</v>
      </c>
    </row>
    <row r="14" spans="1:9" x14ac:dyDescent="0.35">
      <c r="C14">
        <v>1000</v>
      </c>
      <c r="F14">
        <v>9000</v>
      </c>
      <c r="G14">
        <v>9003</v>
      </c>
      <c r="I14" t="str">
        <f t="shared" si="0"/>
        <v>INSERT INTO  TEST_TRIGGER (BUNDLE_ID, PARENT_TEST_ID, PARENT_RESULT_ID, PARENT_QUESTION_ID, PARENT_RESPONSE_ID) VALUES (1000, NULL, NULL, 9000, 9003);</v>
      </c>
    </row>
    <row r="15" spans="1:9" x14ac:dyDescent="0.35">
      <c r="C15">
        <v>1000</v>
      </c>
      <c r="F15">
        <v>12000</v>
      </c>
      <c r="G15">
        <v>12002</v>
      </c>
      <c r="I15" t="str">
        <f t="shared" si="0"/>
        <v>INSERT INTO  TEST_TRIGGER (BUNDLE_ID, PARENT_TEST_ID, PARENT_RESULT_ID, PARENT_QUESTION_ID, PARENT_RESPONSE_ID) VALUES (1000, NULL, NULL, 12000, 12002);</v>
      </c>
    </row>
    <row r="16" spans="1:9" x14ac:dyDescent="0.35">
      <c r="C16">
        <v>1000</v>
      </c>
      <c r="F16">
        <v>12000</v>
      </c>
      <c r="G16">
        <v>12003</v>
      </c>
      <c r="I16" t="str">
        <f t="shared" si="0"/>
        <v>INSERT INTO  TEST_TRIGGER (BUNDLE_ID, PARENT_TEST_ID, PARENT_RESULT_ID, PARENT_QUESTION_ID, PARENT_RESPONSE_ID) VALUES (1000, NULL, NULL, 12000, 12003);</v>
      </c>
    </row>
    <row r="17" spans="3:9" x14ac:dyDescent="0.35">
      <c r="C17">
        <v>1000</v>
      </c>
      <c r="D17">
        <v>5000</v>
      </c>
      <c r="E17">
        <v>5002</v>
      </c>
      <c r="I17" t="str">
        <f t="shared" si="0"/>
        <v>INSERT INTO  TEST_TRIGGER (BUNDLE_ID, PARENT_TEST_ID, PARENT_RESULT_ID, PARENT_QUESTION_ID, PARENT_RESPONSE_ID) VALUES (1000, 5000, 5002, NULL, NULL);</v>
      </c>
    </row>
    <row r="18" spans="3:9" x14ac:dyDescent="0.35">
      <c r="C18">
        <v>1000</v>
      </c>
      <c r="D18">
        <v>5000</v>
      </c>
      <c r="E18">
        <v>5003</v>
      </c>
      <c r="I18" t="str">
        <f t="shared" si="0"/>
        <v>INSERT INTO  TEST_TRIGGER (BUNDLE_ID, PARENT_TEST_ID, PARENT_RESULT_ID, PARENT_QUESTION_ID, PARENT_RESPONSE_ID) VALUES (1000, 5000, 5003, NULL, NULL);</v>
      </c>
    </row>
    <row r="19" spans="3:9" x14ac:dyDescent="0.35">
      <c r="C19">
        <v>1000</v>
      </c>
      <c r="D19">
        <v>5000</v>
      </c>
      <c r="E19">
        <v>5004</v>
      </c>
      <c r="I19" t="str">
        <f t="shared" si="0"/>
        <v>INSERT INTO  TEST_TRIGGER (BUNDLE_ID, PARENT_TEST_ID, PARENT_RESULT_ID, PARENT_QUESTION_ID, PARENT_RESPONSE_ID) VALUES (1000, 5000, 5004, NULL, NULL);</v>
      </c>
    </row>
    <row r="20" spans="3:9" x14ac:dyDescent="0.35">
      <c r="C20">
        <v>1000</v>
      </c>
      <c r="D20">
        <v>5000</v>
      </c>
      <c r="E20">
        <v>5005</v>
      </c>
      <c r="I20" t="str">
        <f t="shared" si="0"/>
        <v>INSERT INTO  TEST_TRIGGER (BUNDLE_ID, PARENT_TEST_ID, PARENT_RESULT_ID, PARENT_QUESTION_ID, PARENT_RESPONSE_ID) VALUES (1000, 5000, 5005, NULL, NULL);</v>
      </c>
    </row>
    <row r="21" spans="3:9" x14ac:dyDescent="0.35">
      <c r="C21">
        <v>1000</v>
      </c>
      <c r="D21">
        <v>5010</v>
      </c>
      <c r="E21">
        <v>5012</v>
      </c>
      <c r="I21" t="str">
        <f t="shared" si="0"/>
        <v>INSERT INTO  TEST_TRIGGER (BUNDLE_ID, PARENT_TEST_ID, PARENT_RESULT_ID, PARENT_QUESTION_ID, PARENT_RESPONSE_ID) VALUES (1000, 5010, 5012, NULL, NULL);</v>
      </c>
    </row>
    <row r="22" spans="3:9" x14ac:dyDescent="0.35">
      <c r="C22">
        <v>1000</v>
      </c>
      <c r="D22">
        <v>5010</v>
      </c>
      <c r="E22">
        <v>5013</v>
      </c>
      <c r="I22" t="str">
        <f t="shared" si="0"/>
        <v>INSERT INTO  TEST_TRIGGER (BUNDLE_ID, PARENT_TEST_ID, PARENT_RESULT_ID, PARENT_QUESTION_ID, PARENT_RESPONSE_ID) VALUES (1000, 5010, 5013, NULL, NULL);</v>
      </c>
    </row>
    <row r="23" spans="3:9" x14ac:dyDescent="0.35">
      <c r="C23">
        <v>1000</v>
      </c>
      <c r="D23">
        <v>5010</v>
      </c>
      <c r="E23">
        <v>5014</v>
      </c>
      <c r="I23" t="str">
        <f t="shared" si="0"/>
        <v>INSERT INTO  TEST_TRIGGER (BUNDLE_ID, PARENT_TEST_ID, PARENT_RESULT_ID, PARENT_QUESTION_ID, PARENT_RESPONSE_ID) VALUES (1000, 5010, 5014, NULL, NULL);</v>
      </c>
    </row>
    <row r="24" spans="3:9" x14ac:dyDescent="0.35">
      <c r="C24">
        <v>1000</v>
      </c>
      <c r="D24">
        <v>5010</v>
      </c>
      <c r="E24">
        <v>5015</v>
      </c>
      <c r="I24" t="str">
        <f t="shared" si="0"/>
        <v>INSERT INTO  TEST_TRIGGER (BUNDLE_ID, PARENT_TEST_ID, PARENT_RESULT_ID, PARENT_QUESTION_ID, PARENT_RESPONSE_ID) VALUES (1000, 5010, 5015, NULL, NULL);</v>
      </c>
    </row>
    <row r="25" spans="3:9" x14ac:dyDescent="0.35">
      <c r="C25">
        <v>1000</v>
      </c>
      <c r="D25">
        <v>5020</v>
      </c>
      <c r="E25">
        <v>5021</v>
      </c>
      <c r="I25" t="str">
        <f t="shared" si="0"/>
        <v>INSERT INTO  TEST_TRIGGER (BUNDLE_ID, PARENT_TEST_ID, PARENT_RESULT_ID, PARENT_QUESTION_ID, PARENT_RESPONSE_ID) VALUES (1000, 5020, 5021, NULL, NULL);</v>
      </c>
    </row>
    <row r="26" spans="3:9" x14ac:dyDescent="0.35">
      <c r="C26">
        <v>1000</v>
      </c>
      <c r="D26">
        <v>5020</v>
      </c>
      <c r="E26">
        <v>5022</v>
      </c>
      <c r="I26" t="str">
        <f t="shared" si="0"/>
        <v>INSERT INTO  TEST_TRIGGER (BUNDLE_ID, PARENT_TEST_ID, PARENT_RESULT_ID, PARENT_QUESTION_ID, PARENT_RESPONSE_ID) VALUES (1000, 5020, 5022, NULL, NULL);</v>
      </c>
    </row>
    <row r="27" spans="3:9" x14ac:dyDescent="0.35">
      <c r="C27">
        <v>3000</v>
      </c>
      <c r="F27">
        <v>17000</v>
      </c>
      <c r="G27">
        <v>17002</v>
      </c>
      <c r="I27" t="str">
        <f t="shared" si="0"/>
        <v>INSERT INTO  TEST_TRIGGER (BUNDLE_ID, PARENT_TEST_ID, PARENT_RESULT_ID, PARENT_QUESTION_ID, PARENT_RESPONSE_ID) VALUES (3000, NULL, NULL, 17000, 17002);</v>
      </c>
    </row>
    <row r="28" spans="3:9" x14ac:dyDescent="0.35">
      <c r="C28">
        <v>3000</v>
      </c>
      <c r="F28">
        <v>17000</v>
      </c>
      <c r="G28">
        <v>17003</v>
      </c>
      <c r="I28" t="str">
        <f t="shared" si="0"/>
        <v>INSERT INTO  TEST_TRIGGER (BUNDLE_ID, PARENT_TEST_ID, PARENT_RESULT_ID, PARENT_QUESTION_ID, PARENT_RESPONSE_ID) VALUES (3000, NULL, NULL, 17000, 17003);</v>
      </c>
    </row>
    <row r="29" spans="3:9" x14ac:dyDescent="0.35">
      <c r="C29">
        <v>3000</v>
      </c>
      <c r="F29">
        <v>17000</v>
      </c>
      <c r="G29">
        <v>17004</v>
      </c>
      <c r="I29" t="str">
        <f t="shared" si="0"/>
        <v>INSERT INTO  TEST_TRIGGER (BUNDLE_ID, PARENT_TEST_ID, PARENT_RESULT_ID, PARENT_QUESTION_ID, PARENT_RESPONSE_ID) VALUES (3000, NULL, NULL, 17000, 17004);</v>
      </c>
    </row>
    <row r="30" spans="3:9" x14ac:dyDescent="0.35">
      <c r="C30">
        <v>3000</v>
      </c>
      <c r="F30">
        <v>17000</v>
      </c>
      <c r="G30">
        <v>17005</v>
      </c>
      <c r="I30" t="str">
        <f t="shared" si="0"/>
        <v>INSERT INTO  TEST_TRIGGER (BUNDLE_ID, PARENT_TEST_ID, PARENT_RESULT_ID, PARENT_QUESTION_ID, PARENT_RESPONSE_ID) VALUES (3000, NULL, NULL, 17000, 17005);</v>
      </c>
    </row>
    <row r="31" spans="3:9" x14ac:dyDescent="0.35">
      <c r="C31">
        <v>3000</v>
      </c>
      <c r="F31">
        <v>18000</v>
      </c>
      <c r="G31">
        <v>18002</v>
      </c>
      <c r="I31" t="str">
        <f t="shared" si="0"/>
        <v>INSERT INTO  TEST_TRIGGER (BUNDLE_ID, PARENT_TEST_ID, PARENT_RESULT_ID, PARENT_QUESTION_ID, PARENT_RESPONSE_ID) VALUES (3000, NULL, NULL, 18000, 18002);</v>
      </c>
    </row>
    <row r="32" spans="3:9" x14ac:dyDescent="0.35">
      <c r="C32">
        <v>3000</v>
      </c>
      <c r="F32">
        <v>18000</v>
      </c>
      <c r="G32">
        <v>18003</v>
      </c>
      <c r="I32" t="str">
        <f t="shared" si="0"/>
        <v>INSERT INTO  TEST_TRIGGER (BUNDLE_ID, PARENT_TEST_ID, PARENT_RESULT_ID, PARENT_QUESTION_ID, PARENT_RESPONSE_ID) VALUES (3000, NULL, NULL, 18000, 18003);</v>
      </c>
    </row>
    <row r="33" spans="3:9" x14ac:dyDescent="0.35">
      <c r="C33">
        <v>3000</v>
      </c>
      <c r="F33">
        <v>18000</v>
      </c>
      <c r="G33">
        <v>18004</v>
      </c>
      <c r="I33" t="str">
        <f t="shared" si="0"/>
        <v>INSERT INTO  TEST_TRIGGER (BUNDLE_ID, PARENT_TEST_ID, PARENT_RESULT_ID, PARENT_QUESTION_ID, PARENT_RESPONSE_ID) VALUES (3000, NULL, NULL, 18000, 18004);</v>
      </c>
    </row>
    <row r="34" spans="3:9" x14ac:dyDescent="0.35">
      <c r="C34">
        <v>3000</v>
      </c>
      <c r="F34">
        <v>18000</v>
      </c>
      <c r="G34">
        <v>18005</v>
      </c>
      <c r="I34" t="str">
        <f t="shared" si="0"/>
        <v>INSERT INTO  TEST_TRIGGER (BUNDLE_ID, PARENT_TEST_ID, PARENT_RESULT_ID, PARENT_QUESTION_ID, PARENT_RESPONSE_ID) VALUES (3000, NULL, NULL, 18000, 18005);</v>
      </c>
    </row>
    <row r="35" spans="3:9" x14ac:dyDescent="0.35">
      <c r="C35">
        <v>3000</v>
      </c>
      <c r="F35">
        <v>18000</v>
      </c>
      <c r="G35">
        <v>18006</v>
      </c>
      <c r="I35" t="str">
        <f t="shared" si="0"/>
        <v>INSERT INTO  TEST_TRIGGER (BUNDLE_ID, PARENT_TEST_ID, PARENT_RESULT_ID, PARENT_QUESTION_ID, PARENT_RESPONSE_ID) VALUES (3000, NULL, NULL, 18000, 18006);</v>
      </c>
    </row>
    <row r="36" spans="3:9" x14ac:dyDescent="0.35">
      <c r="C36">
        <v>3000</v>
      </c>
      <c r="D36">
        <v>6030</v>
      </c>
      <c r="E36">
        <v>6031</v>
      </c>
      <c r="I36" t="str">
        <f t="shared" si="0"/>
        <v>INSERT INTO  TEST_TRIGGER (BUNDLE_ID, PARENT_TEST_ID, PARENT_RESULT_ID, PARENT_QUESTION_ID, PARENT_RESPONSE_ID) VALUES (3000, 6030, 6031, NULL, NULL);</v>
      </c>
    </row>
    <row r="37" spans="3:9" x14ac:dyDescent="0.35">
      <c r="C37">
        <v>3000</v>
      </c>
      <c r="D37">
        <v>6050</v>
      </c>
      <c r="E37">
        <v>6051</v>
      </c>
      <c r="I37" t="str">
        <f t="shared" si="0"/>
        <v>INSERT INTO  TEST_TRIGGER (BUNDLE_ID, PARENT_TEST_ID, PARENT_RESULT_ID, PARENT_QUESTION_ID, PARENT_RESPONSE_ID) VALUES (3000, 6050, 6051, NULL, NULL);</v>
      </c>
    </row>
    <row r="38" spans="3:9" x14ac:dyDescent="0.35">
      <c r="C38">
        <v>3000</v>
      </c>
      <c r="D38">
        <v>6060</v>
      </c>
      <c r="E38">
        <v>6061</v>
      </c>
      <c r="I38" t="str">
        <f t="shared" si="0"/>
        <v>INSERT INTO  TEST_TRIGGER (BUNDLE_ID, PARENT_TEST_ID, PARENT_RESULT_ID, PARENT_QUESTION_ID, PARENT_RESPONSE_ID) VALUES (3000, 6060, 6061, NULL, NULL);</v>
      </c>
    </row>
    <row r="39" spans="3:9" x14ac:dyDescent="0.35">
      <c r="C39">
        <v>4000</v>
      </c>
      <c r="F39">
        <v>17000</v>
      </c>
      <c r="G39">
        <v>17002</v>
      </c>
      <c r="I39" t="str">
        <f t="shared" si="0"/>
        <v>INSERT INTO  TEST_TRIGGER (BUNDLE_ID, PARENT_TEST_ID, PARENT_RESULT_ID, PARENT_QUESTION_ID, PARENT_RESPONSE_ID) VALUES (4000, NULL, NULL, 17000, 17002);</v>
      </c>
    </row>
    <row r="40" spans="3:9" x14ac:dyDescent="0.35">
      <c r="C40">
        <v>4000</v>
      </c>
      <c r="F40">
        <v>17000</v>
      </c>
      <c r="G40">
        <v>17003</v>
      </c>
      <c r="I40" t="str">
        <f t="shared" si="0"/>
        <v>INSERT INTO  TEST_TRIGGER (BUNDLE_ID, PARENT_TEST_ID, PARENT_RESULT_ID, PARENT_QUESTION_ID, PARENT_RESPONSE_ID) VALUES (4000, NULL, NULL, 17000, 17003);</v>
      </c>
    </row>
    <row r="41" spans="3:9" x14ac:dyDescent="0.35">
      <c r="C41">
        <v>4000</v>
      </c>
      <c r="F41">
        <v>17000</v>
      </c>
      <c r="G41">
        <v>17004</v>
      </c>
      <c r="I41" t="str">
        <f t="shared" si="0"/>
        <v>INSERT INTO  TEST_TRIGGER (BUNDLE_ID, PARENT_TEST_ID, PARENT_RESULT_ID, PARENT_QUESTION_ID, PARENT_RESPONSE_ID) VALUES (4000, NULL, NULL, 17000, 17004);</v>
      </c>
    </row>
    <row r="42" spans="3:9" x14ac:dyDescent="0.35">
      <c r="C42">
        <v>4000</v>
      </c>
      <c r="F42">
        <v>17000</v>
      </c>
      <c r="G42">
        <v>17005</v>
      </c>
      <c r="I42" t="str">
        <f t="shared" si="0"/>
        <v>INSERT INTO  TEST_TRIGGER (BUNDLE_ID, PARENT_TEST_ID, PARENT_RESULT_ID, PARENT_QUESTION_ID, PARENT_RESPONSE_ID) VALUES (4000, NULL, NULL, 17000, 17005);</v>
      </c>
    </row>
    <row r="43" spans="3:9" x14ac:dyDescent="0.35">
      <c r="C43">
        <v>4000</v>
      </c>
      <c r="F43">
        <v>200</v>
      </c>
      <c r="G43">
        <v>202</v>
      </c>
      <c r="I43" t="str">
        <f t="shared" si="0"/>
        <v>INSERT INTO  TEST_TRIGGER (BUNDLE_ID, PARENT_TEST_ID, PARENT_RESULT_ID, PARENT_QUESTION_ID, PARENT_RESPONSE_ID) VALUES (4000, NULL, NULL, 200, 202);</v>
      </c>
    </row>
    <row r="44" spans="3:9" x14ac:dyDescent="0.35">
      <c r="C44">
        <v>4000</v>
      </c>
      <c r="F44">
        <v>200</v>
      </c>
      <c r="G44">
        <v>203</v>
      </c>
      <c r="I44" t="str">
        <f t="shared" si="0"/>
        <v>INSERT INTO  TEST_TRIGGER (BUNDLE_ID, PARENT_TEST_ID, PARENT_RESULT_ID, PARENT_QUESTION_ID, PARENT_RESPONSE_ID) VALUES (4000, NULL, NULL, 200, 203);</v>
      </c>
    </row>
    <row r="45" spans="3:9" x14ac:dyDescent="0.35">
      <c r="C45">
        <v>4000</v>
      </c>
      <c r="F45">
        <v>200</v>
      </c>
      <c r="G45">
        <v>204</v>
      </c>
      <c r="I45" t="str">
        <f t="shared" si="0"/>
        <v>INSERT INTO  TEST_TRIGGER (BUNDLE_ID, PARENT_TEST_ID, PARENT_RESULT_ID, PARENT_QUESTION_ID, PARENT_RESPONSE_ID) VALUES (4000, NULL, NULL, 200, 204);</v>
      </c>
    </row>
    <row r="46" spans="3:9" x14ac:dyDescent="0.35">
      <c r="C46">
        <v>4000</v>
      </c>
      <c r="F46">
        <v>200</v>
      </c>
      <c r="G46">
        <v>205</v>
      </c>
      <c r="I46" t="str">
        <f t="shared" si="0"/>
        <v>INSERT INTO  TEST_TRIGGER (BUNDLE_ID, PARENT_TEST_ID, PARENT_RESULT_ID, PARENT_QUESTION_ID, PARENT_RESPONSE_ID) VALUES (4000, NULL, NULL, 200, 205);</v>
      </c>
    </row>
    <row r="47" spans="3:9" x14ac:dyDescent="0.35">
      <c r="C47">
        <v>2000</v>
      </c>
      <c r="F47">
        <v>19000</v>
      </c>
      <c r="G47">
        <v>19001</v>
      </c>
      <c r="I47" t="str">
        <f t="shared" si="0"/>
        <v>INSERT INTO  TEST_TRIGGER (BUNDLE_ID, PARENT_TEST_ID, PARENT_RESULT_ID, PARENT_QUESTION_ID, PARENT_RESPONSE_ID) VALUES (2000, NULL, NULL, 19000, 19001);</v>
      </c>
    </row>
    <row r="48" spans="3:9" x14ac:dyDescent="0.35">
      <c r="C48">
        <v>2000</v>
      </c>
      <c r="F48">
        <v>19000</v>
      </c>
      <c r="G48">
        <v>19002</v>
      </c>
      <c r="I48" t="str">
        <f t="shared" si="0"/>
        <v>INSERT INTO  TEST_TRIGGER (BUNDLE_ID, PARENT_TEST_ID, PARENT_RESULT_ID, PARENT_QUESTION_ID, PARENT_RESPONSE_ID) VALUES (2000, NULL, NULL, 19000, 19002);</v>
      </c>
    </row>
    <row r="49" spans="3:9" x14ac:dyDescent="0.35">
      <c r="C49">
        <v>2000</v>
      </c>
      <c r="F49">
        <v>19000</v>
      </c>
      <c r="G49">
        <v>19003</v>
      </c>
      <c r="I49" t="str">
        <f t="shared" si="0"/>
        <v>INSERT INTO  TEST_TRIGGER (BUNDLE_ID, PARENT_TEST_ID, PARENT_RESULT_ID, PARENT_QUESTION_ID, PARENT_RESPONSE_ID) VALUES (2000, NULL, NULL, 19000, 19003);</v>
      </c>
    </row>
    <row r="50" spans="3:9" x14ac:dyDescent="0.35">
      <c r="C50">
        <v>7000</v>
      </c>
      <c r="D50">
        <v>1030</v>
      </c>
      <c r="E50">
        <v>1032</v>
      </c>
      <c r="I50" t="str">
        <f t="shared" si="0"/>
        <v>INSERT INTO  TEST_TRIGGER (BUNDLE_ID, PARENT_TEST_ID, PARENT_RESULT_ID, PARENT_QUESTION_ID, PARENT_RESPONSE_ID) VALUES (7000, 1030, 1032, NULL, NULL);</v>
      </c>
    </row>
    <row r="51" spans="3:9" x14ac:dyDescent="0.35">
      <c r="C51">
        <v>7000</v>
      </c>
      <c r="D51">
        <v>1030</v>
      </c>
      <c r="E51">
        <v>1033</v>
      </c>
      <c r="I51" t="str">
        <f t="shared" si="0"/>
        <v>INSERT INTO  TEST_TRIGGER (BUNDLE_ID, PARENT_TEST_ID, PARENT_RESULT_ID, PARENT_QUESTION_ID, PARENT_RESPONSE_ID) VALUES (7000, 1030, 1033, NULL, NULL);</v>
      </c>
    </row>
    <row r="52" spans="3:9" x14ac:dyDescent="0.35">
      <c r="C52">
        <v>7000</v>
      </c>
      <c r="D52">
        <v>1030</v>
      </c>
      <c r="E52">
        <v>1036</v>
      </c>
      <c r="I52" t="str">
        <f t="shared" si="0"/>
        <v>INSERT INTO  TEST_TRIGGER (BUNDLE_ID, PARENT_TEST_ID, PARENT_RESULT_ID, PARENT_QUESTION_ID, PARENT_RESPONSE_ID) VALUES (7000, 1030, 1036, NULL, NULL);</v>
      </c>
    </row>
    <row r="53" spans="3:9" x14ac:dyDescent="0.35">
      <c r="C53">
        <v>7000</v>
      </c>
      <c r="D53">
        <v>1030</v>
      </c>
      <c r="E53">
        <v>1037</v>
      </c>
      <c r="I53" t="str">
        <f t="shared" si="0"/>
        <v>INSERT INTO  TEST_TRIGGER (BUNDLE_ID, PARENT_TEST_ID, PARENT_RESULT_ID, PARENT_QUESTION_ID, PARENT_RESPONSE_ID) VALUES (7000, 1030, 1037, NULL, NULL);</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4E96F-0E3E-4194-B25C-6648B9BDA896}">
  <sheetPr>
    <outlinePr summaryBelow="0"/>
  </sheetPr>
  <dimension ref="B1:Q139"/>
  <sheetViews>
    <sheetView showGridLines="0" topLeftCell="A119" zoomScale="84" zoomScaleNormal="84" workbookViewId="0">
      <selection activeCell="G117" sqref="G117"/>
    </sheetView>
  </sheetViews>
  <sheetFormatPr defaultRowHeight="15.5" outlineLevelRow="1" x14ac:dyDescent="0.35"/>
  <cols>
    <col min="1" max="1" width="1.7265625" customWidth="1"/>
    <col min="2" max="2" width="2.6328125" customWidth="1"/>
    <col min="3" max="3" width="15.08984375" customWidth="1"/>
    <col min="4" max="4" width="2.6328125" style="58" customWidth="1"/>
    <col min="5" max="5" width="22.36328125" bestFit="1" customWidth="1"/>
    <col min="6" max="6" width="2.6328125" style="61" customWidth="1"/>
    <col min="7" max="7" width="29.7265625" customWidth="1"/>
    <col min="8" max="8" width="2.6328125" customWidth="1"/>
    <col min="9" max="9" width="26.90625" customWidth="1"/>
    <col min="10" max="10" width="2.6328125" customWidth="1"/>
    <col min="11" max="11" width="28.08984375" customWidth="1"/>
    <col min="12" max="12" width="2.6328125" customWidth="1"/>
    <col min="13" max="13" width="22.81640625" customWidth="1"/>
    <col min="14" max="14" width="2.6328125" customWidth="1"/>
    <col min="15" max="15" width="24.26953125" customWidth="1"/>
  </cols>
  <sheetData>
    <row r="1" spans="2:16" ht="34" customHeight="1" x14ac:dyDescent="0.6">
      <c r="B1" s="113" t="s">
        <v>868</v>
      </c>
      <c r="C1" s="113"/>
      <c r="D1" s="113"/>
      <c r="E1" s="113"/>
      <c r="F1" s="113"/>
      <c r="G1" s="113"/>
      <c r="H1" s="113"/>
      <c r="I1" s="113"/>
      <c r="J1" s="113"/>
      <c r="K1" s="113"/>
      <c r="L1" s="113"/>
      <c r="M1" s="113"/>
      <c r="N1" s="113"/>
      <c r="O1" s="113"/>
      <c r="P1" s="113"/>
    </row>
    <row r="2" spans="2:16" ht="18.5" x14ac:dyDescent="0.45">
      <c r="B2" s="56" t="s">
        <v>171</v>
      </c>
      <c r="C2" s="53"/>
      <c r="D2" s="59"/>
      <c r="E2" s="53"/>
      <c r="F2" s="62"/>
      <c r="G2" s="53"/>
      <c r="H2" s="53"/>
      <c r="I2" s="53"/>
      <c r="J2" s="53"/>
      <c r="K2" s="53"/>
      <c r="L2" s="53"/>
      <c r="M2" s="53"/>
      <c r="N2" s="53"/>
      <c r="O2" s="53"/>
      <c r="P2" s="53"/>
    </row>
    <row r="3" spans="2:16" ht="14.5" outlineLevel="1" x14ac:dyDescent="0.35">
      <c r="B3" s="66"/>
      <c r="C3" s="66" t="s">
        <v>849</v>
      </c>
      <c r="D3" s="67"/>
      <c r="E3" s="66"/>
      <c r="F3" s="67"/>
      <c r="G3" s="66"/>
      <c r="H3" s="66"/>
      <c r="I3" s="66"/>
      <c r="J3" s="66"/>
      <c r="K3" s="66"/>
      <c r="L3" s="66"/>
      <c r="M3" s="66"/>
      <c r="N3" s="66"/>
      <c r="O3" s="66"/>
      <c r="P3" s="66"/>
    </row>
    <row r="4" spans="2:16" ht="14.5" outlineLevel="1" x14ac:dyDescent="0.35">
      <c r="B4" s="66"/>
      <c r="C4" s="66" t="s">
        <v>850</v>
      </c>
      <c r="D4" s="67"/>
      <c r="E4" s="66"/>
      <c r="F4" s="67"/>
      <c r="G4" s="66"/>
      <c r="H4" s="66"/>
      <c r="I4" s="66"/>
      <c r="J4" s="66"/>
      <c r="K4" s="66"/>
      <c r="L4" s="66"/>
      <c r="M4" s="66"/>
      <c r="N4" s="66"/>
      <c r="O4" s="66"/>
      <c r="P4" s="66"/>
    </row>
    <row r="5" spans="2:16" ht="18.5" x14ac:dyDescent="0.45">
      <c r="B5" s="56" t="s">
        <v>172</v>
      </c>
      <c r="C5" s="53"/>
      <c r="D5" s="59"/>
      <c r="E5" s="53"/>
      <c r="F5" s="62"/>
      <c r="G5" s="53"/>
      <c r="H5" s="53"/>
      <c r="I5" s="53"/>
      <c r="J5" s="53"/>
      <c r="K5" s="53"/>
      <c r="L5" s="53"/>
      <c r="M5" s="53"/>
      <c r="N5" s="53"/>
      <c r="O5" s="53"/>
      <c r="P5" s="53"/>
    </row>
    <row r="6" spans="2:16" ht="14.5" outlineLevel="1" x14ac:dyDescent="0.35">
      <c r="B6" s="66"/>
      <c r="C6" s="68" t="s">
        <v>177</v>
      </c>
      <c r="D6" s="67"/>
      <c r="E6" s="66"/>
      <c r="F6" s="67"/>
      <c r="G6" s="66"/>
      <c r="H6" s="66"/>
      <c r="I6" s="66"/>
      <c r="J6" s="66"/>
      <c r="K6" s="66"/>
      <c r="L6" s="66"/>
      <c r="M6" s="66"/>
      <c r="N6" s="66"/>
      <c r="O6" s="66"/>
      <c r="P6" s="66"/>
    </row>
    <row r="7" spans="2:16" ht="14.5" outlineLevel="1" x14ac:dyDescent="0.35">
      <c r="B7" s="66"/>
      <c r="C7" s="68" t="s">
        <v>207</v>
      </c>
      <c r="D7" s="67"/>
      <c r="E7" s="66"/>
      <c r="F7" s="67"/>
      <c r="G7" s="66"/>
      <c r="H7" s="66"/>
      <c r="I7" s="66"/>
      <c r="J7" s="66"/>
      <c r="K7" s="66"/>
      <c r="L7" s="66"/>
      <c r="M7" s="66"/>
      <c r="N7" s="66"/>
      <c r="O7" s="66"/>
      <c r="P7" s="66"/>
    </row>
    <row r="8" spans="2:16" ht="14.5" outlineLevel="1" x14ac:dyDescent="0.35">
      <c r="B8" s="66"/>
      <c r="C8" s="68" t="s">
        <v>208</v>
      </c>
      <c r="D8" s="67"/>
      <c r="E8" s="66"/>
      <c r="F8" s="67"/>
      <c r="G8" s="66"/>
      <c r="H8" s="66"/>
      <c r="I8" s="66"/>
      <c r="J8" s="66"/>
      <c r="K8" s="66"/>
      <c r="L8" s="66"/>
      <c r="M8" s="66"/>
      <c r="N8" s="66"/>
      <c r="O8" s="66"/>
      <c r="P8" s="66"/>
    </row>
    <row r="9" spans="2:16" ht="14.5" outlineLevel="1" x14ac:dyDescent="0.35">
      <c r="B9" s="66"/>
      <c r="C9" s="68" t="s">
        <v>209</v>
      </c>
      <c r="D9" s="67"/>
      <c r="E9" s="66"/>
      <c r="F9" s="67"/>
      <c r="G9" s="66"/>
      <c r="H9" s="66"/>
      <c r="I9" s="66"/>
      <c r="J9" s="66"/>
      <c r="K9" s="66"/>
      <c r="L9" s="66"/>
      <c r="M9" s="66"/>
      <c r="N9" s="66"/>
      <c r="O9" s="66"/>
      <c r="P9" s="66"/>
    </row>
    <row r="10" spans="2:16" ht="14.5" outlineLevel="1" x14ac:dyDescent="0.35">
      <c r="B10" s="66"/>
      <c r="C10" s="68" t="s">
        <v>210</v>
      </c>
      <c r="D10" s="67"/>
      <c r="E10" s="66"/>
      <c r="F10" s="67"/>
      <c r="G10" s="66"/>
      <c r="H10" s="66"/>
      <c r="I10" s="66"/>
      <c r="J10" s="66"/>
      <c r="K10" s="66"/>
      <c r="L10" s="66"/>
      <c r="M10" s="66"/>
      <c r="N10" s="66"/>
      <c r="O10" s="66"/>
      <c r="P10" s="66"/>
    </row>
    <row r="11" spans="2:16" ht="14.5" outlineLevel="1" x14ac:dyDescent="0.35">
      <c r="B11" s="66"/>
      <c r="C11" s="68" t="s">
        <v>211</v>
      </c>
      <c r="D11" s="67"/>
      <c r="E11" s="66"/>
      <c r="F11" s="67"/>
      <c r="G11" s="66"/>
      <c r="H11" s="66"/>
      <c r="I11" s="66"/>
      <c r="J11" s="66"/>
      <c r="K11" s="66"/>
      <c r="L11" s="66"/>
      <c r="M11" s="66"/>
      <c r="N11" s="66"/>
      <c r="O11" s="66"/>
      <c r="P11" s="66"/>
    </row>
    <row r="12" spans="2:16" ht="14.5" outlineLevel="1" x14ac:dyDescent="0.35">
      <c r="B12" s="66"/>
      <c r="C12" s="68" t="s">
        <v>212</v>
      </c>
      <c r="D12" s="67"/>
      <c r="E12" s="66"/>
      <c r="F12" s="67"/>
      <c r="G12" s="66"/>
      <c r="H12" s="66"/>
      <c r="I12" s="66"/>
      <c r="J12" s="66"/>
      <c r="K12" s="66"/>
      <c r="L12" s="66"/>
      <c r="M12" s="66"/>
      <c r="N12" s="66"/>
      <c r="O12" s="66"/>
      <c r="P12" s="66"/>
    </row>
    <row r="13" spans="2:16" ht="14.5" outlineLevel="1" x14ac:dyDescent="0.35">
      <c r="B13" s="66"/>
      <c r="C13" s="68" t="s">
        <v>178</v>
      </c>
      <c r="D13" s="67"/>
      <c r="E13" s="66"/>
      <c r="F13" s="67"/>
      <c r="G13" s="66"/>
      <c r="H13" s="66"/>
      <c r="I13" s="66"/>
      <c r="J13" s="66"/>
      <c r="K13" s="66"/>
      <c r="L13" s="66"/>
      <c r="M13" s="66"/>
      <c r="N13" s="66"/>
      <c r="O13" s="66"/>
      <c r="P13" s="66"/>
    </row>
    <row r="14" spans="2:16" x14ac:dyDescent="0.35">
      <c r="B14" s="54"/>
      <c r="C14" s="54"/>
      <c r="D14" s="57" t="s">
        <v>163</v>
      </c>
      <c r="E14" s="54"/>
      <c r="F14" s="63" t="s">
        <v>855</v>
      </c>
      <c r="G14" s="72" t="s">
        <v>878</v>
      </c>
      <c r="H14" s="54"/>
      <c r="I14" s="54"/>
      <c r="J14" s="54"/>
      <c r="K14" s="54"/>
      <c r="L14" s="54"/>
      <c r="M14" s="54"/>
      <c r="N14" s="54"/>
      <c r="O14" s="54"/>
      <c r="P14" s="54"/>
    </row>
    <row r="15" spans="2:16" ht="14.5" outlineLevel="1" x14ac:dyDescent="0.35">
      <c r="B15" s="66"/>
      <c r="C15" s="66"/>
      <c r="D15" s="67"/>
      <c r="E15" s="74" t="s">
        <v>179</v>
      </c>
      <c r="F15" s="67"/>
      <c r="G15" s="66"/>
      <c r="H15" s="66"/>
      <c r="I15" s="66"/>
      <c r="J15" s="66"/>
      <c r="K15" s="66"/>
      <c r="L15" s="66"/>
      <c r="M15" s="66"/>
      <c r="N15" s="66"/>
      <c r="O15" s="66"/>
      <c r="P15" s="66"/>
    </row>
    <row r="16" spans="2:16" ht="14.5" outlineLevel="1" x14ac:dyDescent="0.35">
      <c r="B16" s="66"/>
      <c r="C16" s="66"/>
      <c r="D16" s="67"/>
      <c r="E16" s="74" t="s">
        <v>180</v>
      </c>
      <c r="F16" s="67"/>
      <c r="G16" s="66"/>
      <c r="H16" s="66"/>
      <c r="I16" s="66"/>
      <c r="J16" s="66"/>
      <c r="K16" s="66"/>
      <c r="L16" s="66"/>
      <c r="M16" s="66"/>
      <c r="N16" s="66"/>
      <c r="O16" s="66"/>
      <c r="P16" s="66"/>
    </row>
    <row r="17" spans="2:16" ht="14.5" outlineLevel="1" x14ac:dyDescent="0.35">
      <c r="B17" s="66"/>
      <c r="C17" s="66"/>
      <c r="D17" s="67"/>
      <c r="E17" s="74" t="s">
        <v>718</v>
      </c>
      <c r="F17" s="67"/>
      <c r="G17" s="66"/>
      <c r="H17" s="66"/>
      <c r="I17" s="66"/>
      <c r="J17" s="66"/>
      <c r="K17" s="66"/>
      <c r="L17" s="66"/>
      <c r="M17" s="66"/>
      <c r="N17" s="66"/>
      <c r="O17" s="66"/>
      <c r="P17" s="66"/>
    </row>
    <row r="18" spans="2:16" ht="14.5" outlineLevel="1" x14ac:dyDescent="0.35">
      <c r="B18" s="66"/>
      <c r="C18" s="66"/>
      <c r="D18" s="67"/>
      <c r="E18" s="74" t="s">
        <v>182</v>
      </c>
      <c r="F18" s="67"/>
      <c r="G18" s="66"/>
      <c r="H18" s="66"/>
      <c r="I18" s="66"/>
      <c r="J18" s="66"/>
      <c r="K18" s="66"/>
      <c r="L18" s="66"/>
      <c r="M18" s="66"/>
      <c r="N18" s="66"/>
      <c r="O18" s="66"/>
      <c r="P18" s="66"/>
    </row>
    <row r="19" spans="2:16" x14ac:dyDescent="0.35">
      <c r="B19" s="54"/>
      <c r="C19" s="54"/>
      <c r="D19" s="57" t="s">
        <v>193</v>
      </c>
      <c r="E19" s="54"/>
      <c r="F19" s="63" t="s">
        <v>855</v>
      </c>
      <c r="G19" s="72" t="s">
        <v>171</v>
      </c>
      <c r="H19" s="54"/>
      <c r="I19" s="54"/>
      <c r="J19" s="54"/>
      <c r="K19" s="54"/>
      <c r="L19" s="54"/>
      <c r="M19" s="54"/>
      <c r="N19" s="54"/>
      <c r="O19" s="54"/>
      <c r="P19" s="54"/>
    </row>
    <row r="20" spans="2:16" ht="14.5" outlineLevel="1" x14ac:dyDescent="0.35">
      <c r="B20" s="66"/>
      <c r="C20" s="66"/>
      <c r="D20" s="67"/>
      <c r="E20" s="74" t="s">
        <v>48</v>
      </c>
      <c r="F20" s="67"/>
      <c r="G20" s="66"/>
      <c r="H20" s="66"/>
      <c r="I20" s="66"/>
      <c r="J20" s="66"/>
      <c r="K20" s="66"/>
      <c r="L20" s="66"/>
      <c r="M20" s="66"/>
      <c r="N20" s="66"/>
      <c r="O20" s="66"/>
      <c r="P20" s="66"/>
    </row>
    <row r="21" spans="2:16" ht="14.5" outlineLevel="1" x14ac:dyDescent="0.35">
      <c r="B21" s="66"/>
      <c r="C21" s="66"/>
      <c r="D21" s="67"/>
      <c r="E21" s="74" t="s">
        <v>47</v>
      </c>
      <c r="F21" s="67"/>
      <c r="G21" s="66"/>
      <c r="H21" s="66"/>
      <c r="I21" s="66"/>
      <c r="J21" s="66"/>
      <c r="K21" s="66"/>
      <c r="L21" s="66"/>
      <c r="M21" s="66"/>
      <c r="N21" s="66"/>
      <c r="O21" s="66"/>
      <c r="P21" s="66"/>
    </row>
    <row r="22" spans="2:16" ht="14.5" outlineLevel="1" x14ac:dyDescent="0.35">
      <c r="B22" s="66"/>
      <c r="C22" s="66"/>
      <c r="D22" s="67"/>
      <c r="E22" s="74" t="s">
        <v>191</v>
      </c>
      <c r="F22" s="67"/>
      <c r="G22" s="66"/>
      <c r="H22" s="66"/>
      <c r="I22" s="66"/>
      <c r="J22" s="66"/>
      <c r="K22" s="66"/>
      <c r="L22" s="66"/>
      <c r="M22" s="66"/>
      <c r="N22" s="66"/>
      <c r="O22" s="66"/>
      <c r="P22" s="66"/>
    </row>
    <row r="23" spans="2:16" ht="14.5" outlineLevel="1" x14ac:dyDescent="0.35">
      <c r="B23" s="66"/>
      <c r="C23" s="66"/>
      <c r="D23" s="67"/>
      <c r="E23" s="74" t="s">
        <v>192</v>
      </c>
      <c r="F23" s="67"/>
      <c r="G23" s="66"/>
      <c r="H23" s="66"/>
      <c r="I23" s="66"/>
      <c r="J23" s="66"/>
      <c r="K23" s="66"/>
      <c r="L23" s="66"/>
      <c r="M23" s="66"/>
      <c r="N23" s="66"/>
      <c r="O23" s="66"/>
      <c r="P23" s="66"/>
    </row>
    <row r="24" spans="2:16" x14ac:dyDescent="0.35">
      <c r="B24" s="54"/>
      <c r="C24" s="54"/>
      <c r="D24" s="57" t="s">
        <v>164</v>
      </c>
      <c r="E24" s="54"/>
      <c r="F24" s="63" t="s">
        <v>855</v>
      </c>
      <c r="G24" s="72" t="s">
        <v>172</v>
      </c>
      <c r="H24" s="54"/>
      <c r="I24" s="54"/>
      <c r="J24" s="54"/>
      <c r="K24" s="54"/>
      <c r="L24" s="54"/>
      <c r="M24" s="54"/>
      <c r="N24" s="54"/>
      <c r="O24" s="54"/>
      <c r="P24" s="54"/>
    </row>
    <row r="25" spans="2:16" ht="14.5" outlineLevel="1" x14ac:dyDescent="0.35">
      <c r="B25" s="66"/>
      <c r="C25" s="66"/>
      <c r="D25" s="67"/>
      <c r="E25" s="74" t="s">
        <v>231</v>
      </c>
      <c r="F25" s="67"/>
      <c r="G25" s="66"/>
      <c r="H25" s="66"/>
      <c r="I25" s="66"/>
      <c r="J25" s="66"/>
      <c r="K25" s="66"/>
      <c r="L25" s="66"/>
      <c r="M25" s="66"/>
      <c r="N25" s="66"/>
      <c r="O25" s="66"/>
      <c r="P25" s="66"/>
    </row>
    <row r="26" spans="2:16" ht="14.5" outlineLevel="1" x14ac:dyDescent="0.35">
      <c r="B26" s="66"/>
      <c r="C26" s="66"/>
      <c r="D26" s="67"/>
      <c r="E26" s="74" t="s">
        <v>232</v>
      </c>
      <c r="F26" s="67"/>
      <c r="G26" s="66"/>
      <c r="H26" s="66"/>
      <c r="I26" s="66"/>
      <c r="J26" s="66"/>
      <c r="K26" s="66"/>
      <c r="L26" s="66"/>
      <c r="M26" s="66"/>
      <c r="N26" s="66"/>
      <c r="O26" s="66"/>
      <c r="P26" s="66"/>
    </row>
    <row r="27" spans="2:16" ht="14.5" outlineLevel="1" x14ac:dyDescent="0.35">
      <c r="B27" s="66"/>
      <c r="C27" s="66"/>
      <c r="D27" s="67"/>
      <c r="E27" s="74" t="s">
        <v>233</v>
      </c>
      <c r="F27" s="67"/>
      <c r="G27" s="66"/>
      <c r="H27" s="66"/>
      <c r="I27" s="66"/>
      <c r="J27" s="66"/>
      <c r="K27" s="66"/>
      <c r="L27" s="66"/>
      <c r="M27" s="66"/>
      <c r="N27" s="66"/>
      <c r="O27" s="66"/>
      <c r="P27" s="66"/>
    </row>
    <row r="28" spans="2:16" ht="14.5" outlineLevel="1" x14ac:dyDescent="0.35">
      <c r="B28" s="66"/>
      <c r="C28" s="66"/>
      <c r="D28" s="67"/>
      <c r="E28" s="74" t="s">
        <v>234</v>
      </c>
      <c r="F28" s="67"/>
      <c r="G28" s="66"/>
      <c r="H28" s="66"/>
      <c r="I28" s="66"/>
      <c r="J28" s="66"/>
      <c r="K28" s="66"/>
      <c r="L28" s="66"/>
      <c r="M28" s="66"/>
      <c r="N28" s="66"/>
      <c r="O28" s="66"/>
      <c r="P28" s="66"/>
    </row>
    <row r="29" spans="2:16" x14ac:dyDescent="0.35">
      <c r="B29" s="54"/>
      <c r="C29" s="54"/>
      <c r="D29" s="57" t="s">
        <v>165</v>
      </c>
      <c r="E29" s="54"/>
      <c r="F29" s="64"/>
      <c r="G29" s="54"/>
      <c r="H29" s="54"/>
      <c r="I29" s="54"/>
      <c r="J29" s="54"/>
      <c r="K29" s="54"/>
      <c r="L29" s="54"/>
      <c r="M29" s="54"/>
      <c r="N29" s="54"/>
      <c r="O29" s="54"/>
      <c r="P29" s="54"/>
    </row>
    <row r="30" spans="2:16" ht="14.5" outlineLevel="1" x14ac:dyDescent="0.35">
      <c r="B30" s="66"/>
      <c r="C30" s="66"/>
      <c r="D30" s="67"/>
      <c r="E30" s="66" t="s">
        <v>239</v>
      </c>
      <c r="F30" s="67"/>
      <c r="G30" s="66"/>
      <c r="H30" s="66"/>
      <c r="I30" s="66"/>
      <c r="J30" s="66"/>
      <c r="K30" s="66"/>
      <c r="L30" s="66"/>
      <c r="M30" s="66"/>
      <c r="N30" s="66"/>
      <c r="O30" s="66"/>
      <c r="P30" s="66"/>
    </row>
    <row r="31" spans="2:16" ht="14.5" outlineLevel="1" x14ac:dyDescent="0.35">
      <c r="B31" s="66"/>
      <c r="C31" s="66"/>
      <c r="D31" s="67"/>
      <c r="E31" s="66" t="s">
        <v>240</v>
      </c>
      <c r="F31" s="67"/>
      <c r="G31" s="66"/>
      <c r="H31" s="66"/>
      <c r="I31" s="66"/>
      <c r="J31" s="66"/>
      <c r="K31" s="66"/>
      <c r="L31" s="66"/>
      <c r="M31" s="66"/>
      <c r="N31" s="66"/>
      <c r="O31" s="66"/>
      <c r="P31" s="66"/>
    </row>
    <row r="32" spans="2:16" ht="14.5" outlineLevel="1" x14ac:dyDescent="0.35">
      <c r="B32" s="66"/>
      <c r="C32" s="66"/>
      <c r="D32" s="67"/>
      <c r="E32" s="66" t="s">
        <v>241</v>
      </c>
      <c r="F32" s="67"/>
      <c r="G32" s="66"/>
      <c r="H32" s="66"/>
      <c r="I32" s="66"/>
      <c r="J32" s="66"/>
      <c r="K32" s="66"/>
      <c r="L32" s="66"/>
      <c r="M32" s="66"/>
      <c r="N32" s="66"/>
      <c r="O32" s="66"/>
      <c r="P32" s="66"/>
    </row>
    <row r="33" spans="2:16" x14ac:dyDescent="0.35">
      <c r="B33" s="54"/>
      <c r="C33" s="54"/>
      <c r="D33" s="57" t="s">
        <v>166</v>
      </c>
      <c r="E33" s="54"/>
      <c r="F33" s="64"/>
      <c r="G33" s="54"/>
      <c r="H33" s="54"/>
      <c r="I33" s="54"/>
      <c r="J33" s="54"/>
      <c r="K33" s="54"/>
      <c r="L33" s="54"/>
      <c r="M33" s="54"/>
      <c r="N33" s="54"/>
      <c r="O33" s="54"/>
      <c r="P33" s="54"/>
    </row>
    <row r="34" spans="2:16" ht="14.5" outlineLevel="1" x14ac:dyDescent="0.35">
      <c r="B34" s="66"/>
      <c r="C34" s="66"/>
      <c r="D34" s="67"/>
      <c r="E34" s="66" t="s">
        <v>242</v>
      </c>
      <c r="F34" s="67"/>
      <c r="G34" s="66"/>
      <c r="H34" s="66"/>
      <c r="I34" s="66"/>
      <c r="J34" s="66"/>
      <c r="K34" s="66"/>
      <c r="L34" s="66"/>
      <c r="M34" s="66"/>
      <c r="N34" s="66"/>
      <c r="O34" s="66"/>
      <c r="P34" s="66"/>
    </row>
    <row r="35" spans="2:16" ht="14.5" outlineLevel="1" x14ac:dyDescent="0.35">
      <c r="B35" s="66"/>
      <c r="C35" s="66"/>
      <c r="D35" s="67"/>
      <c r="E35" s="66" t="s">
        <v>243</v>
      </c>
      <c r="F35" s="67"/>
      <c r="G35" s="66"/>
      <c r="H35" s="66"/>
      <c r="I35" s="66"/>
      <c r="J35" s="66"/>
      <c r="K35" s="66"/>
      <c r="L35" s="66"/>
      <c r="M35" s="66"/>
      <c r="N35" s="66"/>
      <c r="O35" s="66"/>
      <c r="P35" s="66"/>
    </row>
    <row r="36" spans="2:16" ht="14.5" outlineLevel="1" x14ac:dyDescent="0.35">
      <c r="B36" s="66"/>
      <c r="C36" s="66"/>
      <c r="D36" s="67"/>
      <c r="E36" s="66" t="s">
        <v>249</v>
      </c>
      <c r="F36" s="67"/>
      <c r="G36" s="66"/>
      <c r="H36" s="66"/>
      <c r="I36" s="66"/>
      <c r="J36" s="66"/>
      <c r="K36" s="66"/>
      <c r="L36" s="66"/>
      <c r="M36" s="66"/>
      <c r="N36" s="66"/>
      <c r="O36" s="66"/>
      <c r="P36" s="66"/>
    </row>
    <row r="37" spans="2:16" x14ac:dyDescent="0.35">
      <c r="B37" s="54"/>
      <c r="C37" s="54"/>
      <c r="D37" s="57" t="s">
        <v>55</v>
      </c>
      <c r="E37" s="54"/>
      <c r="F37" s="64"/>
      <c r="G37" s="54"/>
      <c r="H37" s="54"/>
      <c r="I37" s="54"/>
      <c r="J37" s="54"/>
      <c r="K37" s="54"/>
      <c r="L37" s="54"/>
      <c r="M37" s="54"/>
      <c r="N37" s="54"/>
      <c r="O37" s="54"/>
      <c r="P37" s="54"/>
    </row>
    <row r="38" spans="2:16" ht="14.5" outlineLevel="1" x14ac:dyDescent="0.35">
      <c r="B38" s="66"/>
      <c r="C38" s="66"/>
      <c r="D38" s="67"/>
      <c r="E38" s="66" t="s">
        <v>247</v>
      </c>
      <c r="F38" s="67"/>
      <c r="G38" s="66"/>
      <c r="H38" s="66"/>
      <c r="I38" s="66"/>
      <c r="J38" s="66"/>
      <c r="K38" s="66"/>
      <c r="L38" s="66"/>
      <c r="M38" s="66"/>
      <c r="N38" s="66"/>
      <c r="O38" s="66"/>
      <c r="P38" s="66"/>
    </row>
    <row r="39" spans="2:16" ht="14.5" outlineLevel="1" x14ac:dyDescent="0.35">
      <c r="B39" s="66"/>
      <c r="C39" s="66"/>
      <c r="D39" s="67"/>
      <c r="E39" s="66" t="s">
        <v>246</v>
      </c>
      <c r="F39" s="67"/>
      <c r="G39" s="66"/>
      <c r="H39" s="66"/>
      <c r="I39" s="66"/>
      <c r="J39" s="66"/>
      <c r="K39" s="66"/>
      <c r="L39" s="66"/>
      <c r="M39" s="66"/>
      <c r="N39" s="66"/>
      <c r="O39" s="66"/>
      <c r="P39" s="66"/>
    </row>
    <row r="40" spans="2:16" ht="14.5" outlineLevel="1" x14ac:dyDescent="0.35">
      <c r="B40" s="66"/>
      <c r="C40" s="66"/>
      <c r="D40" s="67"/>
      <c r="E40" s="66" t="s">
        <v>248</v>
      </c>
      <c r="F40" s="67"/>
      <c r="G40" s="66"/>
      <c r="H40" s="66"/>
      <c r="I40" s="66"/>
      <c r="J40" s="66"/>
      <c r="K40" s="66"/>
      <c r="L40" s="66"/>
      <c r="M40" s="66"/>
      <c r="N40" s="66"/>
      <c r="O40" s="66"/>
      <c r="P40" s="66"/>
    </row>
    <row r="41" spans="2:16" x14ac:dyDescent="0.35">
      <c r="B41" s="54"/>
      <c r="C41" s="54"/>
      <c r="D41" s="57" t="s">
        <v>57</v>
      </c>
      <c r="E41" s="54"/>
      <c r="F41" s="64"/>
      <c r="G41" s="54"/>
      <c r="H41" s="54"/>
      <c r="I41" s="54"/>
      <c r="J41" s="54"/>
      <c r="K41" s="54"/>
      <c r="L41" s="54"/>
      <c r="M41" s="54"/>
      <c r="N41" s="54"/>
      <c r="O41" s="54"/>
      <c r="P41" s="54"/>
    </row>
    <row r="42" spans="2:16" ht="14.5" outlineLevel="1" x14ac:dyDescent="0.35">
      <c r="B42" s="66"/>
      <c r="C42" s="66"/>
      <c r="D42" s="67"/>
      <c r="E42" s="66" t="s">
        <v>41</v>
      </c>
      <c r="F42" s="67"/>
      <c r="G42" s="66"/>
      <c r="H42" s="66"/>
      <c r="I42" s="66"/>
      <c r="J42" s="66"/>
      <c r="K42" s="66"/>
      <c r="L42" s="66"/>
      <c r="M42" s="66"/>
      <c r="N42" s="66"/>
      <c r="O42" s="66"/>
      <c r="P42" s="66"/>
    </row>
    <row r="43" spans="2:16" ht="14.5" outlineLevel="1" x14ac:dyDescent="0.35">
      <c r="B43" s="66"/>
      <c r="C43" s="66"/>
      <c r="D43" s="67"/>
      <c r="E43" s="66" t="s">
        <v>97</v>
      </c>
      <c r="F43" s="67"/>
      <c r="G43" s="66"/>
      <c r="H43" s="66"/>
      <c r="I43" s="66"/>
      <c r="J43" s="66"/>
      <c r="K43" s="66"/>
      <c r="L43" s="66"/>
      <c r="M43" s="66"/>
      <c r="N43" s="66"/>
      <c r="O43" s="66"/>
      <c r="P43" s="66"/>
    </row>
    <row r="44" spans="2:16" ht="14.5" outlineLevel="1" x14ac:dyDescent="0.35">
      <c r="B44" s="66"/>
      <c r="C44" s="66"/>
      <c r="D44" s="67"/>
      <c r="E44" s="66" t="s">
        <v>98</v>
      </c>
      <c r="F44" s="67"/>
      <c r="G44" s="66"/>
      <c r="H44" s="66"/>
      <c r="I44" s="66"/>
      <c r="J44" s="66"/>
      <c r="K44" s="66"/>
      <c r="L44" s="66"/>
      <c r="M44" s="66"/>
      <c r="N44" s="66"/>
      <c r="O44" s="66"/>
      <c r="P44" s="66"/>
    </row>
    <row r="45" spans="2:16" ht="14.5" outlineLevel="1" x14ac:dyDescent="0.35">
      <c r="B45" s="66"/>
      <c r="C45" s="66"/>
      <c r="D45" s="67"/>
      <c r="E45" s="66" t="s">
        <v>99</v>
      </c>
      <c r="F45" s="67"/>
      <c r="G45" s="66"/>
      <c r="H45" s="66"/>
      <c r="I45" s="66"/>
      <c r="J45" s="66"/>
      <c r="K45" s="66"/>
      <c r="L45" s="66"/>
      <c r="M45" s="66"/>
      <c r="N45" s="66"/>
      <c r="O45" s="66"/>
      <c r="P45" s="66"/>
    </row>
    <row r="46" spans="2:16" ht="14.5" outlineLevel="1" x14ac:dyDescent="0.35">
      <c r="B46" s="66"/>
      <c r="C46" s="66"/>
      <c r="D46" s="67"/>
      <c r="E46" s="66" t="s">
        <v>194</v>
      </c>
      <c r="F46" s="67"/>
      <c r="G46" s="66"/>
      <c r="H46" s="66"/>
      <c r="I46" s="66"/>
      <c r="J46" s="66"/>
      <c r="K46" s="66"/>
      <c r="L46" s="66"/>
      <c r="M46" s="66"/>
      <c r="N46" s="66"/>
      <c r="O46" s="66"/>
      <c r="P46" s="66"/>
    </row>
    <row r="47" spans="2:16" ht="14.5" outlineLevel="1" x14ac:dyDescent="0.35">
      <c r="B47" s="66"/>
      <c r="C47" s="66"/>
      <c r="D47" s="67"/>
      <c r="E47" s="66" t="s">
        <v>266</v>
      </c>
      <c r="F47" s="67"/>
      <c r="G47" s="66"/>
      <c r="H47" s="66"/>
      <c r="I47" s="66"/>
      <c r="J47" s="66"/>
      <c r="K47" s="66"/>
      <c r="L47" s="66"/>
      <c r="M47" s="66"/>
      <c r="N47" s="66"/>
      <c r="O47" s="66"/>
      <c r="P47" s="66"/>
    </row>
    <row r="48" spans="2:16" x14ac:dyDescent="0.35">
      <c r="B48" s="54"/>
      <c r="C48" s="54"/>
      <c r="D48" s="57" t="s">
        <v>58</v>
      </c>
      <c r="E48" s="54"/>
      <c r="F48" s="64"/>
      <c r="G48" s="54"/>
      <c r="H48" s="54"/>
      <c r="I48" s="54"/>
      <c r="J48" s="54"/>
      <c r="K48" s="54"/>
      <c r="L48" s="54"/>
      <c r="M48" s="54"/>
      <c r="N48" s="54"/>
      <c r="O48" s="54"/>
      <c r="P48" s="54"/>
    </row>
    <row r="49" spans="2:16" ht="14.5" outlineLevel="1" x14ac:dyDescent="0.35">
      <c r="B49" s="66"/>
      <c r="C49" s="66"/>
      <c r="D49" s="67"/>
      <c r="E49" s="66" t="s">
        <v>41</v>
      </c>
      <c r="F49" s="67"/>
      <c r="G49" s="66"/>
      <c r="H49" s="66"/>
      <c r="I49" s="66"/>
      <c r="J49" s="66"/>
      <c r="K49" s="66"/>
      <c r="L49" s="66"/>
      <c r="M49" s="66"/>
      <c r="N49" s="66"/>
      <c r="O49" s="66"/>
      <c r="P49" s="66"/>
    </row>
    <row r="50" spans="2:16" ht="14.5" outlineLevel="1" x14ac:dyDescent="0.35">
      <c r="B50" s="66"/>
      <c r="C50" s="66"/>
      <c r="D50" s="67"/>
      <c r="E50" s="66" t="s">
        <v>97</v>
      </c>
      <c r="F50" s="67"/>
      <c r="G50" s="66"/>
      <c r="H50" s="66"/>
      <c r="I50" s="66"/>
      <c r="J50" s="66"/>
      <c r="K50" s="66"/>
      <c r="L50" s="66"/>
      <c r="M50" s="66"/>
      <c r="N50" s="66"/>
      <c r="O50" s="66"/>
      <c r="P50" s="66"/>
    </row>
    <row r="51" spans="2:16" ht="14.5" outlineLevel="1" x14ac:dyDescent="0.35">
      <c r="B51" s="66"/>
      <c r="C51" s="66"/>
      <c r="D51" s="67"/>
      <c r="E51" s="66" t="s">
        <v>98</v>
      </c>
      <c r="F51" s="67"/>
      <c r="G51" s="66"/>
      <c r="H51" s="66"/>
      <c r="I51" s="66"/>
      <c r="J51" s="66"/>
      <c r="K51" s="66"/>
      <c r="L51" s="66"/>
      <c r="M51" s="66"/>
      <c r="N51" s="66"/>
      <c r="O51" s="66"/>
      <c r="P51" s="66"/>
    </row>
    <row r="52" spans="2:16" ht="14.5" outlineLevel="1" x14ac:dyDescent="0.35">
      <c r="B52" s="66"/>
      <c r="C52" s="66"/>
      <c r="D52" s="67"/>
      <c r="E52" s="66" t="s">
        <v>99</v>
      </c>
      <c r="F52" s="67"/>
      <c r="G52" s="66"/>
      <c r="H52" s="66"/>
      <c r="I52" s="66"/>
      <c r="J52" s="66"/>
      <c r="K52" s="66"/>
      <c r="L52" s="66"/>
      <c r="M52" s="66"/>
      <c r="N52" s="66"/>
      <c r="O52" s="66"/>
      <c r="P52" s="66"/>
    </row>
    <row r="53" spans="2:16" ht="14.5" outlineLevel="1" x14ac:dyDescent="0.35">
      <c r="B53" s="66"/>
      <c r="C53" s="66"/>
      <c r="D53" s="67"/>
      <c r="E53" s="66" t="s">
        <v>194</v>
      </c>
      <c r="F53" s="67"/>
      <c r="G53" s="66"/>
      <c r="H53" s="66"/>
      <c r="I53" s="66"/>
      <c r="J53" s="66"/>
      <c r="K53" s="66"/>
      <c r="L53" s="66"/>
      <c r="M53" s="66"/>
      <c r="N53" s="66"/>
      <c r="O53" s="66"/>
      <c r="P53" s="66"/>
    </row>
    <row r="54" spans="2:16" ht="14.5" outlineLevel="1" x14ac:dyDescent="0.35">
      <c r="B54" s="66"/>
      <c r="C54" s="66"/>
      <c r="D54" s="67"/>
      <c r="E54" s="66" t="s">
        <v>266</v>
      </c>
      <c r="F54" s="67"/>
      <c r="G54" s="66"/>
      <c r="H54" s="66"/>
      <c r="I54" s="66"/>
      <c r="J54" s="66"/>
      <c r="K54" s="66"/>
      <c r="L54" s="66"/>
      <c r="M54" s="66"/>
      <c r="N54" s="66"/>
      <c r="O54" s="66"/>
      <c r="P54" s="66"/>
    </row>
    <row r="55" spans="2:16" ht="14.5" outlineLevel="1" x14ac:dyDescent="0.35">
      <c r="B55" s="66"/>
      <c r="C55" s="66"/>
      <c r="D55" s="67"/>
      <c r="E55" s="66" t="s">
        <v>267</v>
      </c>
      <c r="F55" s="67"/>
      <c r="G55" s="66"/>
      <c r="H55" s="66"/>
      <c r="I55" s="66"/>
      <c r="J55" s="66"/>
      <c r="K55" s="66"/>
      <c r="L55" s="66"/>
      <c r="M55" s="66"/>
      <c r="N55" s="66"/>
      <c r="O55" s="66"/>
      <c r="P55" s="66"/>
    </row>
    <row r="56" spans="2:16" x14ac:dyDescent="0.35">
      <c r="B56" s="54"/>
      <c r="C56" s="54"/>
      <c r="D56" s="57" t="s">
        <v>848</v>
      </c>
      <c r="E56" s="54"/>
      <c r="F56" s="64"/>
      <c r="G56" s="54"/>
      <c r="H56" s="54"/>
      <c r="I56" s="54"/>
      <c r="J56" s="54"/>
      <c r="K56" s="54"/>
      <c r="L56" s="54"/>
      <c r="M56" s="54"/>
      <c r="N56" s="54"/>
      <c r="O56" s="54"/>
      <c r="P56" s="54"/>
    </row>
    <row r="57" spans="2:16" ht="14.5" outlineLevel="1" x14ac:dyDescent="0.35">
      <c r="B57" s="66"/>
      <c r="C57" s="66"/>
      <c r="D57" s="67"/>
      <c r="E57" s="66" t="s">
        <v>852</v>
      </c>
      <c r="F57" s="67"/>
      <c r="G57" s="66"/>
      <c r="H57" s="66"/>
      <c r="I57" s="66"/>
      <c r="J57" s="66"/>
      <c r="K57" s="66"/>
      <c r="L57" s="66"/>
      <c r="M57" s="66"/>
      <c r="N57" s="66"/>
      <c r="O57" s="66"/>
      <c r="P57" s="66"/>
    </row>
    <row r="58" spans="2:16" ht="14.5" outlineLevel="1" x14ac:dyDescent="0.35">
      <c r="B58" s="66"/>
      <c r="C58" s="66"/>
      <c r="D58" s="67"/>
      <c r="E58" s="66" t="s">
        <v>43</v>
      </c>
      <c r="F58" s="67"/>
      <c r="G58" s="66"/>
      <c r="H58" s="66"/>
      <c r="I58" s="66"/>
      <c r="J58" s="66"/>
      <c r="K58" s="66"/>
      <c r="L58" s="66"/>
      <c r="M58" s="66"/>
      <c r="N58" s="66"/>
      <c r="O58" s="66"/>
      <c r="P58" s="66"/>
    </row>
    <row r="59" spans="2:16" ht="14.5" outlineLevel="1" x14ac:dyDescent="0.35">
      <c r="B59" s="66"/>
      <c r="C59" s="66"/>
      <c r="D59" s="67"/>
      <c r="E59" s="66" t="s">
        <v>851</v>
      </c>
      <c r="F59" s="67"/>
      <c r="G59" s="66"/>
      <c r="H59" s="66"/>
      <c r="I59" s="66"/>
      <c r="J59" s="66"/>
      <c r="K59" s="66"/>
      <c r="L59" s="66"/>
      <c r="M59" s="66"/>
      <c r="N59" s="66"/>
      <c r="O59" s="66"/>
      <c r="P59" s="66"/>
    </row>
    <row r="60" spans="2:16" x14ac:dyDescent="0.35">
      <c r="B60" s="54"/>
      <c r="C60" s="54"/>
      <c r="D60" s="57" t="s">
        <v>853</v>
      </c>
      <c r="E60" s="54"/>
      <c r="F60" s="64"/>
      <c r="G60" s="54"/>
      <c r="H60" s="54"/>
      <c r="I60" s="54"/>
      <c r="J60" s="54"/>
      <c r="K60" s="54"/>
      <c r="L60" s="54"/>
      <c r="M60" s="54"/>
      <c r="N60" s="54"/>
      <c r="O60" s="54"/>
      <c r="P60" s="54"/>
    </row>
    <row r="61" spans="2:16" ht="14.5" outlineLevel="1" x14ac:dyDescent="0.35">
      <c r="B61" s="66"/>
      <c r="C61" s="66"/>
      <c r="D61" s="67"/>
      <c r="E61" s="74" t="s">
        <v>41</v>
      </c>
      <c r="F61" s="67"/>
      <c r="G61" s="66"/>
      <c r="H61" s="66"/>
      <c r="I61" s="66"/>
      <c r="J61" s="66"/>
      <c r="K61" s="66"/>
      <c r="L61" s="66"/>
      <c r="M61" s="66"/>
      <c r="N61" s="66"/>
      <c r="O61" s="66"/>
      <c r="P61" s="66"/>
    </row>
    <row r="62" spans="2:16" ht="14.5" outlineLevel="1" x14ac:dyDescent="0.35">
      <c r="B62" s="66"/>
      <c r="C62" s="66"/>
      <c r="D62" s="67"/>
      <c r="E62" s="74" t="s">
        <v>203</v>
      </c>
      <c r="F62" s="67"/>
      <c r="G62" s="66"/>
      <c r="H62" s="66"/>
      <c r="I62" s="66"/>
      <c r="J62" s="66"/>
      <c r="K62" s="66"/>
      <c r="L62" s="66"/>
      <c r="M62" s="66"/>
      <c r="N62" s="66"/>
      <c r="O62" s="66"/>
      <c r="P62" s="66"/>
    </row>
    <row r="63" spans="2:16" ht="14.5" outlineLevel="1" x14ac:dyDescent="0.35">
      <c r="B63" s="66"/>
      <c r="C63" s="66"/>
      <c r="D63" s="67"/>
      <c r="E63" s="74" t="s">
        <v>204</v>
      </c>
      <c r="F63" s="67"/>
      <c r="G63" s="66"/>
      <c r="H63" s="66"/>
      <c r="I63" s="66"/>
      <c r="J63" s="66"/>
      <c r="K63" s="66"/>
      <c r="L63" s="66"/>
      <c r="M63" s="66"/>
      <c r="N63" s="66"/>
      <c r="O63" s="66"/>
      <c r="P63" s="66"/>
    </row>
    <row r="64" spans="2:16" ht="14.5" outlineLevel="1" x14ac:dyDescent="0.35">
      <c r="B64" s="66"/>
      <c r="C64" s="66"/>
      <c r="D64" s="67"/>
      <c r="E64" s="74" t="s">
        <v>205</v>
      </c>
      <c r="F64" s="67"/>
      <c r="G64" s="66"/>
      <c r="H64" s="66"/>
      <c r="I64" s="66"/>
      <c r="J64" s="66"/>
      <c r="K64" s="66"/>
      <c r="L64" s="66"/>
      <c r="M64" s="66"/>
      <c r="N64" s="66"/>
      <c r="O64" s="66"/>
      <c r="P64" s="66"/>
    </row>
    <row r="65" spans="2:17" ht="14.5" outlineLevel="1" x14ac:dyDescent="0.35">
      <c r="B65" s="66"/>
      <c r="C65" s="66"/>
      <c r="D65" s="67"/>
      <c r="E65" s="74" t="s">
        <v>206</v>
      </c>
      <c r="F65" s="67"/>
      <c r="G65" s="66"/>
      <c r="H65" s="66"/>
      <c r="I65" s="66"/>
      <c r="J65" s="66"/>
      <c r="K65" s="66"/>
      <c r="L65" s="66"/>
      <c r="M65" s="66"/>
      <c r="N65" s="66"/>
      <c r="O65" s="66"/>
      <c r="P65" s="66"/>
    </row>
    <row r="66" spans="2:17" x14ac:dyDescent="0.35">
      <c r="B66" s="54"/>
      <c r="C66" s="54"/>
      <c r="D66" s="57" t="s">
        <v>184</v>
      </c>
      <c r="E66" s="54"/>
      <c r="F66" s="64"/>
      <c r="G66" s="54"/>
      <c r="H66" s="54"/>
      <c r="I66" s="54"/>
      <c r="J66" s="54"/>
      <c r="K66" s="54"/>
      <c r="L66" s="54"/>
      <c r="M66" s="54"/>
      <c r="N66" s="54"/>
      <c r="O66" s="54"/>
      <c r="P66" s="54"/>
    </row>
    <row r="67" spans="2:17" ht="14.5" outlineLevel="1" x14ac:dyDescent="0.35">
      <c r="B67" s="66"/>
      <c r="C67" s="66"/>
      <c r="D67" s="67"/>
      <c r="E67" s="66" t="s">
        <v>2</v>
      </c>
      <c r="F67" s="67"/>
      <c r="G67" s="66"/>
      <c r="H67" s="66"/>
      <c r="I67" s="66"/>
      <c r="J67" s="66"/>
      <c r="K67" s="66"/>
      <c r="L67" s="66"/>
      <c r="M67" s="66"/>
      <c r="N67" s="66"/>
      <c r="O67" s="66"/>
      <c r="P67" s="66"/>
    </row>
    <row r="68" spans="2:17" ht="14.5" outlineLevel="1" x14ac:dyDescent="0.35">
      <c r="B68" s="66"/>
      <c r="C68" s="66"/>
      <c r="D68" s="67"/>
      <c r="E68" s="66" t="s">
        <v>75</v>
      </c>
      <c r="F68" s="67"/>
      <c r="G68" s="66"/>
      <c r="H68" s="66"/>
      <c r="I68" s="66"/>
      <c r="J68" s="66"/>
      <c r="K68" s="66"/>
      <c r="L68" s="66"/>
      <c r="M68" s="66"/>
      <c r="N68" s="66"/>
      <c r="O68" s="66"/>
      <c r="P68" s="66"/>
    </row>
    <row r="69" spans="2:17" ht="14.5" outlineLevel="1" x14ac:dyDescent="0.35">
      <c r="B69" s="66"/>
      <c r="C69" s="66"/>
      <c r="D69" s="67"/>
      <c r="E69" s="66" t="s">
        <v>76</v>
      </c>
      <c r="F69" s="67"/>
      <c r="G69" s="66"/>
      <c r="H69" s="66"/>
      <c r="I69" s="66"/>
      <c r="J69" s="66"/>
      <c r="K69" s="66"/>
      <c r="L69" s="66"/>
      <c r="M69" s="66"/>
      <c r="N69" s="66"/>
      <c r="O69" s="66"/>
      <c r="P69" s="66"/>
    </row>
    <row r="70" spans="2:17" ht="14.5" outlineLevel="1" x14ac:dyDescent="0.35">
      <c r="B70" s="66"/>
      <c r="C70" s="66"/>
      <c r="D70" s="67"/>
      <c r="E70" s="66" t="s">
        <v>235</v>
      </c>
      <c r="F70" s="67"/>
      <c r="G70" s="66"/>
      <c r="H70" s="66"/>
      <c r="I70" s="66"/>
      <c r="J70" s="66"/>
      <c r="K70" s="66"/>
      <c r="L70" s="66"/>
      <c r="M70" s="66"/>
      <c r="N70" s="66"/>
      <c r="O70" s="66"/>
      <c r="P70" s="66"/>
    </row>
    <row r="71" spans="2:17" x14ac:dyDescent="0.35">
      <c r="B71" s="54"/>
      <c r="C71" s="54"/>
      <c r="D71" s="57" t="s">
        <v>888</v>
      </c>
      <c r="E71" s="54"/>
      <c r="F71" s="64"/>
      <c r="G71" s="54" t="s">
        <v>891</v>
      </c>
      <c r="H71" s="54"/>
      <c r="I71" s="54"/>
      <c r="J71" s="54"/>
      <c r="K71" s="54"/>
      <c r="L71" s="54"/>
      <c r="M71" s="54"/>
      <c r="N71" s="54"/>
      <c r="O71" s="54"/>
      <c r="P71" s="54"/>
      <c r="Q71" s="52"/>
    </row>
    <row r="72" spans="2:17" ht="14.5" outlineLevel="1" x14ac:dyDescent="0.35">
      <c r="B72" s="66"/>
      <c r="C72" s="66"/>
      <c r="D72" s="67"/>
      <c r="E72" s="66" t="s">
        <v>889</v>
      </c>
      <c r="F72" s="67"/>
      <c r="G72" s="66"/>
      <c r="H72" s="66"/>
      <c r="I72" s="66"/>
      <c r="J72" s="66"/>
      <c r="K72" s="66"/>
      <c r="L72" s="66"/>
      <c r="M72" s="66"/>
      <c r="N72" s="66"/>
      <c r="O72" s="66"/>
      <c r="P72" s="66"/>
    </row>
    <row r="73" spans="2:17" ht="14.5" outlineLevel="1" x14ac:dyDescent="0.35">
      <c r="B73" s="66"/>
      <c r="C73" s="66"/>
      <c r="D73" s="67"/>
      <c r="E73" s="66" t="s">
        <v>887</v>
      </c>
      <c r="F73" s="67"/>
      <c r="G73" s="66"/>
      <c r="H73" s="66"/>
      <c r="I73" s="66"/>
      <c r="J73" s="66"/>
      <c r="K73" s="66"/>
      <c r="L73" s="66"/>
      <c r="M73" s="66"/>
      <c r="N73" s="66"/>
      <c r="O73" s="66"/>
      <c r="P73" s="66"/>
    </row>
    <row r="74" spans="2:17" ht="14.5" outlineLevel="1" x14ac:dyDescent="0.35">
      <c r="B74" s="66"/>
      <c r="C74" s="66"/>
      <c r="D74" s="67"/>
      <c r="E74" s="66" t="s">
        <v>886</v>
      </c>
      <c r="F74" s="67"/>
      <c r="G74" s="66"/>
      <c r="H74" s="66"/>
      <c r="I74" s="66"/>
      <c r="J74" s="66"/>
      <c r="K74" s="66"/>
      <c r="L74" s="66"/>
      <c r="M74" s="66"/>
      <c r="N74" s="66"/>
      <c r="O74" s="66"/>
      <c r="P74" s="66"/>
    </row>
    <row r="75" spans="2:17" ht="14.5" outlineLevel="1" x14ac:dyDescent="0.35">
      <c r="B75" s="66"/>
      <c r="C75" s="66"/>
      <c r="D75" s="67"/>
      <c r="E75" s="66" t="s">
        <v>890</v>
      </c>
      <c r="F75" s="67"/>
      <c r="G75" s="66"/>
      <c r="H75" s="66"/>
      <c r="I75" s="66"/>
      <c r="J75" s="66"/>
      <c r="K75" s="66"/>
      <c r="L75" s="66"/>
      <c r="M75" s="66"/>
      <c r="N75" s="66"/>
      <c r="O75" s="66"/>
      <c r="P75" s="66"/>
    </row>
    <row r="76" spans="2:17" x14ac:dyDescent="0.35">
      <c r="B76" s="54"/>
      <c r="C76" s="54"/>
      <c r="D76" s="57" t="s">
        <v>167</v>
      </c>
      <c r="E76" s="54"/>
      <c r="F76" s="64"/>
      <c r="G76" s="54"/>
      <c r="H76" s="54"/>
      <c r="I76" s="54"/>
      <c r="J76" s="54"/>
      <c r="K76" s="54"/>
      <c r="L76" s="54"/>
      <c r="M76" s="54"/>
      <c r="N76" s="54"/>
      <c r="O76" s="54"/>
      <c r="P76" s="54"/>
    </row>
    <row r="77" spans="2:17" ht="14.5" outlineLevel="1" x14ac:dyDescent="0.35">
      <c r="B77" s="66"/>
      <c r="C77" s="66"/>
      <c r="D77" s="67"/>
      <c r="E77" s="66" t="s">
        <v>2</v>
      </c>
      <c r="F77" s="67"/>
      <c r="G77" s="66"/>
      <c r="H77" s="66"/>
      <c r="I77" s="66"/>
      <c r="J77" s="66"/>
      <c r="K77" s="66"/>
      <c r="L77" s="66"/>
      <c r="M77" s="66"/>
      <c r="N77" s="66"/>
      <c r="O77" s="66"/>
      <c r="P77" s="66"/>
    </row>
    <row r="78" spans="2:17" ht="14.5" outlineLevel="1" x14ac:dyDescent="0.35">
      <c r="B78" s="66"/>
      <c r="C78" s="66"/>
      <c r="D78" s="67"/>
      <c r="E78" s="66" t="s">
        <v>9</v>
      </c>
      <c r="F78" s="67"/>
      <c r="G78" s="66"/>
      <c r="H78" s="66"/>
      <c r="I78" s="66"/>
      <c r="J78" s="66"/>
      <c r="K78" s="66"/>
      <c r="L78" s="66"/>
      <c r="M78" s="66"/>
      <c r="N78" s="66"/>
      <c r="O78" s="66"/>
      <c r="P78" s="66"/>
    </row>
    <row r="79" spans="2:17" ht="14.5" outlineLevel="1" x14ac:dyDescent="0.35">
      <c r="B79" s="66"/>
      <c r="C79" s="66"/>
      <c r="D79" s="67"/>
      <c r="E79" s="66" t="s">
        <v>10</v>
      </c>
      <c r="F79" s="67"/>
      <c r="G79" s="66"/>
      <c r="H79" s="66"/>
      <c r="I79" s="66"/>
      <c r="J79" s="66"/>
      <c r="K79" s="66"/>
      <c r="L79" s="66"/>
      <c r="M79" s="66"/>
      <c r="N79" s="66"/>
      <c r="O79" s="66"/>
      <c r="P79" s="66"/>
    </row>
    <row r="80" spans="2:17" ht="14.5" outlineLevel="1" x14ac:dyDescent="0.35">
      <c r="B80" s="66"/>
      <c r="C80" s="66"/>
      <c r="D80" s="67"/>
      <c r="E80" s="66" t="s">
        <v>6</v>
      </c>
      <c r="F80" s="67"/>
      <c r="G80" s="66"/>
      <c r="H80" s="66"/>
      <c r="I80" s="66"/>
      <c r="J80" s="66"/>
      <c r="K80" s="66"/>
      <c r="L80" s="66"/>
      <c r="M80" s="66"/>
      <c r="N80" s="66"/>
      <c r="O80" s="66"/>
      <c r="P80" s="66"/>
    </row>
    <row r="81" spans="2:16" x14ac:dyDescent="0.35">
      <c r="B81" s="54"/>
      <c r="C81" s="54"/>
      <c r="D81" s="57" t="s">
        <v>168</v>
      </c>
      <c r="E81" s="54"/>
      <c r="F81" s="64"/>
      <c r="G81" s="54"/>
      <c r="H81" s="54"/>
      <c r="I81" s="54"/>
      <c r="J81" s="54"/>
      <c r="K81" s="54"/>
      <c r="L81" s="54"/>
      <c r="M81" s="54"/>
      <c r="N81" s="54"/>
      <c r="O81" s="54"/>
      <c r="P81" s="54"/>
    </row>
    <row r="82" spans="2:16" ht="14.5" outlineLevel="1" x14ac:dyDescent="0.35">
      <c r="B82" s="66"/>
      <c r="C82" s="66"/>
      <c r="D82" s="67"/>
      <c r="E82" s="66" t="s">
        <v>12</v>
      </c>
      <c r="F82" s="67"/>
      <c r="G82" s="66"/>
      <c r="H82" s="66"/>
      <c r="I82" s="66"/>
      <c r="J82" s="66"/>
      <c r="K82" s="66"/>
      <c r="L82" s="66"/>
      <c r="M82" s="66"/>
      <c r="N82" s="66"/>
      <c r="O82" s="66"/>
      <c r="P82" s="66"/>
    </row>
    <row r="83" spans="2:16" ht="14.5" outlineLevel="1" x14ac:dyDescent="0.35">
      <c r="B83" s="66"/>
      <c r="C83" s="66"/>
      <c r="D83" s="67"/>
      <c r="E83" s="66" t="s">
        <v>88</v>
      </c>
      <c r="F83" s="67"/>
      <c r="G83" s="66"/>
      <c r="H83" s="66"/>
      <c r="I83" s="66"/>
      <c r="J83" s="66"/>
      <c r="K83" s="66"/>
      <c r="L83" s="66"/>
      <c r="M83" s="66"/>
      <c r="N83" s="66"/>
      <c r="O83" s="66"/>
      <c r="P83" s="66"/>
    </row>
    <row r="84" spans="2:16" ht="14.5" outlineLevel="1" x14ac:dyDescent="0.35">
      <c r="B84" s="66"/>
      <c r="C84" s="66"/>
      <c r="D84" s="67"/>
      <c r="E84" s="66" t="s">
        <v>89</v>
      </c>
      <c r="F84" s="67"/>
      <c r="G84" s="66"/>
      <c r="H84" s="66"/>
      <c r="I84" s="66"/>
      <c r="J84" s="66"/>
      <c r="K84" s="66"/>
      <c r="L84" s="66"/>
      <c r="M84" s="66"/>
      <c r="N84" s="66"/>
      <c r="O84" s="66"/>
      <c r="P84" s="66"/>
    </row>
    <row r="85" spans="2:16" ht="14.5" outlineLevel="1" x14ac:dyDescent="0.35">
      <c r="B85" s="66"/>
      <c r="C85" s="66"/>
      <c r="D85" s="67"/>
      <c r="E85" s="66" t="s">
        <v>6</v>
      </c>
      <c r="F85" s="67"/>
      <c r="G85" s="66"/>
      <c r="H85" s="66"/>
      <c r="I85" s="66"/>
      <c r="J85" s="66"/>
      <c r="K85" s="66"/>
      <c r="L85" s="66"/>
      <c r="M85" s="66"/>
      <c r="N85" s="66"/>
      <c r="O85" s="66"/>
      <c r="P85" s="66"/>
    </row>
    <row r="86" spans="2:16" x14ac:dyDescent="0.35">
      <c r="B86" s="54"/>
      <c r="C86" s="54"/>
      <c r="D86" s="57" t="s">
        <v>169</v>
      </c>
      <c r="E86" s="54"/>
      <c r="F86" s="64"/>
      <c r="G86" s="54"/>
      <c r="H86" s="54"/>
      <c r="I86" s="54"/>
      <c r="J86" s="54"/>
      <c r="K86" s="54"/>
      <c r="L86" s="54"/>
      <c r="M86" s="54"/>
      <c r="N86" s="54"/>
      <c r="O86" s="54"/>
      <c r="P86" s="54"/>
    </row>
    <row r="87" spans="2:16" ht="14.5" outlineLevel="1" x14ac:dyDescent="0.35">
      <c r="B87" s="66"/>
      <c r="C87" s="66"/>
      <c r="D87" s="67"/>
      <c r="E87" s="66" t="s">
        <v>2</v>
      </c>
      <c r="F87" s="67"/>
      <c r="G87" s="66"/>
      <c r="H87" s="66"/>
      <c r="I87" s="66"/>
      <c r="J87" s="66"/>
      <c r="K87" s="66"/>
      <c r="L87" s="66"/>
      <c r="M87" s="66"/>
      <c r="N87" s="66"/>
      <c r="O87" s="66"/>
      <c r="P87" s="66"/>
    </row>
    <row r="88" spans="2:16" ht="14.5" outlineLevel="1" x14ac:dyDescent="0.35">
      <c r="B88" s="66"/>
      <c r="C88" s="66"/>
      <c r="D88" s="67"/>
      <c r="E88" s="66" t="s">
        <v>9</v>
      </c>
      <c r="F88" s="67"/>
      <c r="G88" s="66"/>
      <c r="H88" s="66"/>
      <c r="I88" s="66"/>
      <c r="J88" s="66"/>
      <c r="K88" s="66"/>
      <c r="L88" s="66"/>
      <c r="M88" s="66"/>
      <c r="N88" s="66"/>
      <c r="O88" s="66"/>
      <c r="P88" s="66"/>
    </row>
    <row r="89" spans="2:16" ht="14.5" outlineLevel="1" x14ac:dyDescent="0.35">
      <c r="B89" s="66"/>
      <c r="C89" s="66"/>
      <c r="D89" s="67"/>
      <c r="E89" s="66" t="s">
        <v>10</v>
      </c>
      <c r="F89" s="67"/>
      <c r="G89" s="66"/>
      <c r="H89" s="66"/>
      <c r="I89" s="66"/>
      <c r="J89" s="66"/>
      <c r="K89" s="66"/>
      <c r="L89" s="66"/>
      <c r="M89" s="66"/>
      <c r="N89" s="66"/>
      <c r="O89" s="66"/>
      <c r="P89" s="66"/>
    </row>
    <row r="90" spans="2:16" ht="14.5" outlineLevel="1" x14ac:dyDescent="0.35">
      <c r="B90" s="66"/>
      <c r="C90" s="66"/>
      <c r="D90" s="67"/>
      <c r="E90" s="66" t="s">
        <v>14</v>
      </c>
      <c r="F90" s="67"/>
      <c r="G90" s="66"/>
      <c r="H90" s="66"/>
      <c r="I90" s="66"/>
      <c r="J90" s="66"/>
      <c r="K90" s="66"/>
      <c r="L90" s="66"/>
      <c r="M90" s="66"/>
      <c r="N90" s="66"/>
      <c r="O90" s="66"/>
      <c r="P90" s="66"/>
    </row>
    <row r="91" spans="2:16" collapsed="1" x14ac:dyDescent="0.35">
      <c r="B91" s="54"/>
      <c r="C91" s="54"/>
      <c r="D91" s="57" t="s">
        <v>854</v>
      </c>
      <c r="E91" s="54"/>
      <c r="F91" s="64"/>
      <c r="G91" s="54"/>
      <c r="H91" s="54"/>
      <c r="I91" s="54"/>
      <c r="J91" s="54"/>
      <c r="K91" s="54"/>
      <c r="L91" s="54"/>
      <c r="M91" s="54"/>
      <c r="N91" s="54"/>
      <c r="O91" s="54"/>
      <c r="P91" s="54"/>
    </row>
    <row r="92" spans="2:16" ht="14.5" hidden="1" outlineLevel="1" x14ac:dyDescent="0.35">
      <c r="B92" s="66"/>
      <c r="C92" s="66"/>
      <c r="D92" s="67"/>
      <c r="E92" s="66" t="s">
        <v>2</v>
      </c>
      <c r="F92" s="67"/>
      <c r="G92" s="66"/>
      <c r="H92" s="66"/>
      <c r="I92" s="66"/>
      <c r="J92" s="66"/>
      <c r="K92" s="66"/>
      <c r="L92" s="66"/>
      <c r="M92" s="66"/>
      <c r="N92" s="66"/>
      <c r="O92" s="66"/>
      <c r="P92" s="66"/>
    </row>
    <row r="93" spans="2:16" ht="14.5" hidden="1" outlineLevel="1" x14ac:dyDescent="0.35">
      <c r="B93" s="66"/>
      <c r="C93" s="66"/>
      <c r="D93" s="67"/>
      <c r="E93" s="66" t="s">
        <v>9</v>
      </c>
      <c r="F93" s="67"/>
      <c r="G93" s="66"/>
      <c r="H93" s="66"/>
      <c r="I93" s="66"/>
      <c r="J93" s="66"/>
      <c r="K93" s="66"/>
      <c r="L93" s="66"/>
      <c r="M93" s="66"/>
      <c r="N93" s="66"/>
      <c r="O93" s="66"/>
      <c r="P93" s="66"/>
    </row>
    <row r="94" spans="2:16" ht="14.5" hidden="1" outlineLevel="1" x14ac:dyDescent="0.35">
      <c r="B94" s="66"/>
      <c r="C94" s="66"/>
      <c r="D94" s="67"/>
      <c r="E94" s="66" t="s">
        <v>10</v>
      </c>
      <c r="F94" s="67"/>
      <c r="G94" s="66"/>
      <c r="H94" s="66"/>
      <c r="I94" s="66"/>
      <c r="J94" s="66"/>
      <c r="K94" s="66"/>
      <c r="L94" s="66"/>
      <c r="M94" s="66"/>
      <c r="N94" s="66"/>
      <c r="O94" s="66"/>
      <c r="P94" s="66"/>
    </row>
    <row r="95" spans="2:16" ht="14.5" hidden="1" outlineLevel="1" x14ac:dyDescent="0.35">
      <c r="B95" s="66"/>
      <c r="C95" s="66"/>
      <c r="D95" s="67"/>
      <c r="E95" s="66" t="s">
        <v>14</v>
      </c>
      <c r="F95" s="67"/>
      <c r="G95" s="66"/>
      <c r="H95" s="66"/>
      <c r="I95" s="66"/>
      <c r="J95" s="66"/>
      <c r="K95" s="66"/>
      <c r="L95" s="66"/>
      <c r="M95" s="66"/>
      <c r="N95" s="66"/>
      <c r="O95" s="66"/>
      <c r="P95" s="66"/>
    </row>
    <row r="96" spans="2:16" collapsed="1" x14ac:dyDescent="0.35">
      <c r="B96" s="54"/>
      <c r="C96" s="54"/>
      <c r="D96" s="57" t="s">
        <v>16</v>
      </c>
      <c r="E96" s="54"/>
      <c r="F96" s="64"/>
      <c r="G96" s="54"/>
      <c r="H96" s="54"/>
      <c r="I96" s="54"/>
      <c r="J96" s="54"/>
      <c r="K96" s="54"/>
      <c r="L96" s="54"/>
      <c r="M96" s="54"/>
      <c r="N96" s="54"/>
      <c r="O96" s="54"/>
      <c r="P96" s="54"/>
    </row>
    <row r="97" spans="2:16" ht="14.5" hidden="1" outlineLevel="1" x14ac:dyDescent="0.35">
      <c r="B97" s="66"/>
      <c r="C97" s="66"/>
      <c r="D97" s="67"/>
      <c r="E97" s="66" t="s">
        <v>17</v>
      </c>
      <c r="F97" s="67"/>
      <c r="G97" s="66"/>
      <c r="H97" s="66"/>
      <c r="I97" s="66"/>
      <c r="J97" s="66"/>
      <c r="K97" s="66"/>
      <c r="L97" s="66"/>
      <c r="M97" s="66"/>
      <c r="N97" s="66"/>
      <c r="O97" s="66"/>
      <c r="P97" s="66"/>
    </row>
    <row r="98" spans="2:16" ht="14.5" hidden="1" outlineLevel="1" x14ac:dyDescent="0.35">
      <c r="B98" s="66"/>
      <c r="C98" s="66"/>
      <c r="D98" s="67"/>
      <c r="E98" s="66" t="s">
        <v>18</v>
      </c>
      <c r="F98" s="67"/>
      <c r="G98" s="66"/>
      <c r="H98" s="66"/>
      <c r="I98" s="66"/>
      <c r="J98" s="66"/>
      <c r="K98" s="66"/>
      <c r="L98" s="66"/>
      <c r="M98" s="66"/>
      <c r="N98" s="66"/>
      <c r="O98" s="66"/>
      <c r="P98" s="66"/>
    </row>
    <row r="99" spans="2:16" ht="14.5" hidden="1" outlineLevel="1" x14ac:dyDescent="0.35">
      <c r="B99" s="66"/>
      <c r="C99" s="66"/>
      <c r="D99" s="67"/>
      <c r="E99" s="66" t="s">
        <v>19</v>
      </c>
      <c r="F99" s="67"/>
      <c r="G99" s="66"/>
      <c r="H99" s="66"/>
      <c r="I99" s="66"/>
      <c r="J99" s="66"/>
      <c r="K99" s="66"/>
      <c r="L99" s="66"/>
      <c r="M99" s="66"/>
      <c r="N99" s="66"/>
      <c r="O99" s="66"/>
      <c r="P99" s="66"/>
    </row>
    <row r="100" spans="2:16" ht="14.5" hidden="1" outlineLevel="1" x14ac:dyDescent="0.35">
      <c r="B100" s="66"/>
      <c r="C100" s="66"/>
      <c r="D100" s="67"/>
      <c r="E100" s="66" t="s">
        <v>20</v>
      </c>
      <c r="F100" s="67"/>
      <c r="G100" s="66"/>
      <c r="H100" s="66"/>
      <c r="I100" s="66"/>
      <c r="J100" s="66"/>
      <c r="K100" s="66"/>
      <c r="L100" s="66"/>
      <c r="M100" s="66"/>
      <c r="N100" s="66"/>
      <c r="O100" s="66"/>
      <c r="P100" s="66"/>
    </row>
    <row r="101" spans="2:16" x14ac:dyDescent="0.35">
      <c r="B101" s="54"/>
      <c r="C101" s="54"/>
      <c r="D101" s="57" t="s">
        <v>21</v>
      </c>
      <c r="E101" s="54"/>
      <c r="F101" s="64"/>
      <c r="G101" s="54"/>
      <c r="H101" s="54"/>
      <c r="I101" s="54"/>
      <c r="J101" s="54"/>
      <c r="K101" s="54"/>
      <c r="L101" s="54"/>
      <c r="M101" s="54"/>
      <c r="N101" s="54"/>
      <c r="O101" s="54"/>
      <c r="P101" s="54"/>
    </row>
    <row r="102" spans="2:16" ht="14.5" outlineLevel="1" x14ac:dyDescent="0.35">
      <c r="B102" s="66"/>
      <c r="C102" s="66"/>
      <c r="D102" s="67"/>
      <c r="E102" s="66" t="s">
        <v>22</v>
      </c>
      <c r="F102" s="67"/>
      <c r="G102" s="66"/>
      <c r="H102" s="66"/>
      <c r="I102" s="66"/>
      <c r="J102" s="66"/>
      <c r="K102" s="66"/>
      <c r="L102" s="66"/>
      <c r="M102" s="66"/>
      <c r="N102" s="66"/>
      <c r="O102" s="66"/>
      <c r="P102" s="66"/>
    </row>
    <row r="103" spans="2:16" ht="14.5" outlineLevel="1" x14ac:dyDescent="0.35">
      <c r="B103" s="66"/>
      <c r="C103" s="66"/>
      <c r="D103" s="67"/>
      <c r="E103" s="66" t="s">
        <v>90</v>
      </c>
      <c r="F103" s="67"/>
      <c r="G103" s="66"/>
      <c r="H103" s="66"/>
      <c r="I103" s="66"/>
      <c r="J103" s="66"/>
      <c r="K103" s="66"/>
      <c r="L103" s="66"/>
      <c r="M103" s="66"/>
      <c r="N103" s="66"/>
      <c r="O103" s="66"/>
      <c r="P103" s="66"/>
    </row>
    <row r="104" spans="2:16" ht="14.5" outlineLevel="1" x14ac:dyDescent="0.35">
      <c r="B104" s="66"/>
      <c r="C104" s="66"/>
      <c r="D104" s="67"/>
      <c r="E104" s="66" t="s">
        <v>91</v>
      </c>
      <c r="F104" s="67"/>
      <c r="G104" s="66"/>
      <c r="H104" s="66"/>
      <c r="I104" s="66"/>
      <c r="J104" s="66"/>
      <c r="K104" s="66"/>
      <c r="L104" s="66"/>
      <c r="M104" s="66"/>
      <c r="N104" s="66"/>
      <c r="O104" s="66"/>
      <c r="P104" s="66"/>
    </row>
    <row r="105" spans="2:16" ht="14.5" outlineLevel="1" x14ac:dyDescent="0.35">
      <c r="B105" s="66"/>
      <c r="C105" s="66"/>
      <c r="D105" s="67"/>
      <c r="E105" s="66" t="s">
        <v>92</v>
      </c>
      <c r="F105" s="67"/>
      <c r="G105" s="66"/>
      <c r="H105" s="66"/>
      <c r="I105" s="66"/>
      <c r="J105" s="66"/>
      <c r="K105" s="66"/>
      <c r="L105" s="66"/>
      <c r="M105" s="66"/>
      <c r="N105" s="66"/>
      <c r="O105" s="66"/>
      <c r="P105" s="66"/>
    </row>
    <row r="106" spans="2:16" x14ac:dyDescent="0.35">
      <c r="B106" s="54"/>
      <c r="C106" s="54"/>
      <c r="D106" s="57" t="s">
        <v>54</v>
      </c>
      <c r="E106" s="54"/>
      <c r="F106" s="63" t="s">
        <v>855</v>
      </c>
      <c r="G106" s="72" t="s">
        <v>856</v>
      </c>
      <c r="H106" s="54"/>
      <c r="I106" s="54"/>
      <c r="J106" s="54"/>
      <c r="K106" s="54"/>
      <c r="L106" s="54"/>
      <c r="M106" s="54"/>
      <c r="N106" s="54"/>
      <c r="O106" s="54"/>
      <c r="P106" s="54"/>
    </row>
    <row r="107" spans="2:16" ht="14.5" outlineLevel="1" x14ac:dyDescent="0.35">
      <c r="B107" s="66"/>
      <c r="C107" s="66"/>
      <c r="D107" s="67"/>
      <c r="E107" s="66" t="s">
        <v>23</v>
      </c>
      <c r="F107" s="67"/>
      <c r="G107" s="66"/>
      <c r="H107" s="66"/>
      <c r="I107" s="66"/>
      <c r="J107" s="66"/>
      <c r="K107" s="66"/>
      <c r="L107" s="66"/>
      <c r="M107" s="66"/>
      <c r="N107" s="66"/>
      <c r="O107" s="66"/>
      <c r="P107" s="66"/>
    </row>
    <row r="108" spans="2:16" ht="14.5" outlineLevel="1" x14ac:dyDescent="0.35">
      <c r="B108" s="66"/>
      <c r="C108" s="66"/>
      <c r="D108" s="67"/>
      <c r="E108" s="66" t="s">
        <v>24</v>
      </c>
      <c r="F108" s="67"/>
      <c r="G108" s="66"/>
      <c r="H108" s="66"/>
      <c r="I108" s="66"/>
      <c r="J108" s="66"/>
      <c r="K108" s="66"/>
      <c r="L108" s="66"/>
      <c r="M108" s="66"/>
      <c r="N108" s="66"/>
      <c r="O108" s="66"/>
      <c r="P108" s="66"/>
    </row>
    <row r="109" spans="2:16" ht="14.5" outlineLevel="1" x14ac:dyDescent="0.35">
      <c r="B109" s="66"/>
      <c r="C109" s="66"/>
      <c r="D109" s="67"/>
      <c r="E109" s="66" t="s">
        <v>25</v>
      </c>
      <c r="F109" s="67"/>
      <c r="G109" s="66"/>
      <c r="H109" s="66"/>
      <c r="I109" s="66"/>
      <c r="J109" s="66"/>
      <c r="K109" s="66"/>
      <c r="L109" s="66"/>
      <c r="M109" s="66"/>
      <c r="N109" s="66"/>
      <c r="O109" s="66"/>
      <c r="P109" s="66"/>
    </row>
    <row r="110" spans="2:16" ht="14.5" outlineLevel="1" x14ac:dyDescent="0.35">
      <c r="B110" s="66"/>
      <c r="C110" s="66"/>
      <c r="D110" s="67"/>
      <c r="E110" s="66" t="s">
        <v>26</v>
      </c>
      <c r="F110" s="67"/>
      <c r="G110" s="66"/>
      <c r="H110" s="66"/>
      <c r="I110" s="66"/>
      <c r="J110" s="66"/>
      <c r="K110" s="66"/>
      <c r="L110" s="66"/>
      <c r="M110" s="66"/>
      <c r="N110" s="66"/>
      <c r="O110" s="66"/>
      <c r="P110" s="66"/>
    </row>
    <row r="111" spans="2:16" x14ac:dyDescent="0.35">
      <c r="B111" s="54"/>
      <c r="C111" s="54"/>
      <c r="D111" s="57" t="s">
        <v>869</v>
      </c>
      <c r="E111" s="54"/>
      <c r="F111" s="63" t="s">
        <v>855</v>
      </c>
      <c r="G111" s="72" t="s">
        <v>870</v>
      </c>
      <c r="H111" s="54"/>
      <c r="I111" s="54"/>
      <c r="J111" s="54"/>
      <c r="K111" s="54"/>
      <c r="L111" s="54"/>
      <c r="M111" s="54"/>
      <c r="N111" s="54"/>
      <c r="O111" s="54"/>
      <c r="P111" s="54"/>
    </row>
    <row r="112" spans="2:16" ht="14.5" outlineLevel="1" x14ac:dyDescent="0.35">
      <c r="B112" s="66"/>
      <c r="C112" s="66"/>
      <c r="D112" s="67"/>
      <c r="E112" s="66" t="s">
        <v>871</v>
      </c>
      <c r="F112" s="67"/>
      <c r="G112" s="66"/>
      <c r="H112" s="66"/>
      <c r="I112" s="66"/>
      <c r="J112" s="66"/>
      <c r="K112" s="66"/>
      <c r="L112" s="66"/>
      <c r="M112" s="66"/>
      <c r="N112" s="66"/>
      <c r="O112" s="66"/>
      <c r="P112" s="66"/>
    </row>
    <row r="113" spans="2:16" ht="14.5" outlineLevel="1" x14ac:dyDescent="0.35">
      <c r="B113" s="66"/>
      <c r="C113" s="66"/>
      <c r="D113" s="67"/>
      <c r="E113" s="66" t="s">
        <v>872</v>
      </c>
      <c r="F113" s="67"/>
      <c r="G113" s="66"/>
      <c r="H113" s="68" t="s">
        <v>855</v>
      </c>
      <c r="I113" s="66" t="s">
        <v>876</v>
      </c>
      <c r="J113" s="66"/>
      <c r="K113" s="66"/>
      <c r="L113" s="66"/>
      <c r="M113" s="66"/>
      <c r="N113" s="66"/>
      <c r="O113" s="66"/>
      <c r="P113" s="66"/>
    </row>
    <row r="114" spans="2:16" ht="14.5" outlineLevel="1" x14ac:dyDescent="0.35">
      <c r="B114" s="66"/>
      <c r="C114" s="66"/>
      <c r="D114" s="67"/>
      <c r="E114" s="66" t="s">
        <v>873</v>
      </c>
      <c r="F114" s="67"/>
      <c r="G114" s="66"/>
      <c r="H114" s="68" t="s">
        <v>855</v>
      </c>
      <c r="I114" s="66" t="s">
        <v>875</v>
      </c>
      <c r="J114" s="66"/>
      <c r="K114" s="66"/>
      <c r="L114" s="66"/>
      <c r="M114" s="66"/>
      <c r="N114" s="66"/>
      <c r="O114" s="66"/>
      <c r="P114" s="66"/>
    </row>
    <row r="115" spans="2:16" x14ac:dyDescent="0.35">
      <c r="B115" s="55"/>
      <c r="C115" s="55"/>
      <c r="D115" s="60"/>
      <c r="E115" s="55"/>
      <c r="F115" s="65" t="s">
        <v>874</v>
      </c>
      <c r="G115" s="55"/>
      <c r="H115" s="71" t="s">
        <v>855</v>
      </c>
      <c r="I115" s="73" t="s">
        <v>877</v>
      </c>
      <c r="J115" s="55"/>
      <c r="K115" s="55"/>
      <c r="L115" s="55"/>
      <c r="M115" s="55"/>
      <c r="N115" s="55"/>
      <c r="O115" s="55"/>
      <c r="P115" s="55"/>
    </row>
    <row r="116" spans="2:16" ht="14.5" outlineLevel="1" x14ac:dyDescent="0.35">
      <c r="B116" s="66"/>
      <c r="C116" s="66"/>
      <c r="D116" s="67"/>
      <c r="E116" s="66"/>
      <c r="F116" s="67"/>
      <c r="G116" s="69" t="s">
        <v>859</v>
      </c>
      <c r="H116" s="66"/>
      <c r="I116" s="66"/>
      <c r="J116" s="66"/>
      <c r="K116" s="66"/>
      <c r="L116" s="66"/>
      <c r="M116" s="66"/>
      <c r="N116" s="66"/>
      <c r="O116" s="66"/>
      <c r="P116" s="66"/>
    </row>
    <row r="117" spans="2:16" ht="14.5" outlineLevel="1" x14ac:dyDescent="0.35">
      <c r="B117" s="66"/>
      <c r="C117" s="66"/>
      <c r="D117" s="67"/>
      <c r="E117" s="66"/>
      <c r="F117" s="67"/>
      <c r="G117" s="69" t="s">
        <v>860</v>
      </c>
      <c r="H117" s="66"/>
      <c r="I117" s="66"/>
      <c r="J117" s="66"/>
      <c r="K117" s="66"/>
      <c r="L117" s="66"/>
      <c r="M117" s="66"/>
      <c r="N117" s="66"/>
      <c r="O117" s="66"/>
      <c r="P117" s="66"/>
    </row>
    <row r="118" spans="2:16" ht="14.5" outlineLevel="1" x14ac:dyDescent="0.35">
      <c r="B118" s="66"/>
      <c r="C118" s="66"/>
      <c r="D118" s="67"/>
      <c r="E118" s="66"/>
      <c r="F118" s="67"/>
      <c r="G118" s="69" t="s">
        <v>861</v>
      </c>
      <c r="H118" s="66"/>
      <c r="I118" s="66"/>
      <c r="J118" s="66"/>
      <c r="K118" s="66"/>
      <c r="L118" s="66"/>
      <c r="M118" s="66"/>
      <c r="N118" s="66"/>
      <c r="O118" s="66"/>
      <c r="P118" s="66"/>
    </row>
    <row r="119" spans="2:16" ht="14.5" outlineLevel="1" x14ac:dyDescent="0.35">
      <c r="B119" s="66"/>
      <c r="C119" s="66"/>
      <c r="D119" s="67"/>
      <c r="E119" s="66"/>
      <c r="F119" s="67"/>
      <c r="G119" s="69" t="s">
        <v>862</v>
      </c>
      <c r="H119" s="66"/>
      <c r="I119" s="66"/>
      <c r="J119" s="66"/>
      <c r="K119" s="66"/>
      <c r="L119" s="66"/>
      <c r="M119" s="66"/>
      <c r="N119" s="66"/>
      <c r="O119" s="66"/>
      <c r="P119" s="66"/>
    </row>
    <row r="120" spans="2:16" x14ac:dyDescent="0.35">
      <c r="B120" s="55"/>
      <c r="C120" s="55"/>
      <c r="D120" s="60"/>
      <c r="E120" s="55"/>
      <c r="F120" s="65" t="s">
        <v>857</v>
      </c>
      <c r="G120" s="55"/>
      <c r="H120" s="71" t="s">
        <v>855</v>
      </c>
      <c r="I120" s="73" t="s">
        <v>858</v>
      </c>
      <c r="J120" s="55"/>
      <c r="K120" s="55"/>
      <c r="L120" s="55"/>
      <c r="M120" s="55"/>
      <c r="N120" s="55"/>
      <c r="O120" s="55"/>
      <c r="P120" s="55"/>
    </row>
    <row r="121" spans="2:16" ht="14.5" outlineLevel="1" x14ac:dyDescent="0.35">
      <c r="B121" s="66"/>
      <c r="C121" s="66"/>
      <c r="D121" s="67"/>
      <c r="E121" s="66"/>
      <c r="F121" s="67"/>
      <c r="G121" s="69" t="s">
        <v>859</v>
      </c>
      <c r="H121" s="66"/>
      <c r="I121" s="66"/>
      <c r="J121" s="66"/>
      <c r="K121" s="66"/>
      <c r="L121" s="66"/>
      <c r="M121" s="66"/>
      <c r="N121" s="66"/>
      <c r="O121" s="66"/>
      <c r="P121" s="66"/>
    </row>
    <row r="122" spans="2:16" ht="14.5" outlineLevel="1" x14ac:dyDescent="0.35">
      <c r="B122" s="66"/>
      <c r="C122" s="66"/>
      <c r="D122" s="67"/>
      <c r="E122" s="66"/>
      <c r="F122" s="67"/>
      <c r="G122" s="69" t="s">
        <v>860</v>
      </c>
      <c r="H122" s="66"/>
      <c r="I122" s="66"/>
      <c r="J122" s="66"/>
      <c r="K122" s="66"/>
      <c r="L122" s="66"/>
      <c r="M122" s="66"/>
      <c r="N122" s="66"/>
      <c r="O122" s="66"/>
      <c r="P122" s="66"/>
    </row>
    <row r="123" spans="2:16" ht="14.5" outlineLevel="1" x14ac:dyDescent="0.35">
      <c r="B123" s="66"/>
      <c r="C123" s="66"/>
      <c r="D123" s="67"/>
      <c r="E123" s="66"/>
      <c r="F123" s="67"/>
      <c r="G123" s="69" t="s">
        <v>861</v>
      </c>
      <c r="H123" s="66"/>
      <c r="I123" s="66"/>
      <c r="J123" s="66"/>
      <c r="K123" s="66"/>
      <c r="L123" s="66"/>
      <c r="M123" s="66"/>
      <c r="N123" s="66"/>
      <c r="O123" s="66"/>
      <c r="P123" s="66"/>
    </row>
    <row r="124" spans="2:16" ht="14.5" outlineLevel="1" x14ac:dyDescent="0.35">
      <c r="B124" s="66"/>
      <c r="C124" s="66"/>
      <c r="D124" s="67"/>
      <c r="E124" s="66"/>
      <c r="F124" s="67"/>
      <c r="G124" s="69" t="s">
        <v>862</v>
      </c>
      <c r="H124" s="66"/>
      <c r="I124" s="66"/>
      <c r="J124" s="66"/>
      <c r="K124" s="66"/>
      <c r="L124" s="66"/>
      <c r="M124" s="66"/>
      <c r="N124" s="66"/>
      <c r="O124" s="66"/>
      <c r="P124" s="66"/>
    </row>
    <row r="125" spans="2:16" x14ac:dyDescent="0.35">
      <c r="B125" s="55"/>
      <c r="C125" s="55"/>
      <c r="D125" s="60"/>
      <c r="E125" s="55"/>
      <c r="F125" s="65" t="s">
        <v>863</v>
      </c>
      <c r="G125" s="70"/>
      <c r="H125" s="71" t="s">
        <v>855</v>
      </c>
      <c r="I125" s="73" t="s">
        <v>864</v>
      </c>
      <c r="J125" s="55"/>
      <c r="K125" s="55"/>
      <c r="L125" s="55"/>
      <c r="M125" s="55"/>
      <c r="N125" s="55"/>
      <c r="O125" s="55"/>
      <c r="P125" s="55"/>
    </row>
    <row r="126" spans="2:16" ht="14.5" outlineLevel="1" x14ac:dyDescent="0.35">
      <c r="B126" s="66"/>
      <c r="C126" s="66"/>
      <c r="D126" s="67"/>
      <c r="E126" s="66"/>
      <c r="F126" s="67"/>
      <c r="G126" s="69" t="s">
        <v>885</v>
      </c>
      <c r="H126" s="66"/>
      <c r="I126" s="66" t="s">
        <v>884</v>
      </c>
      <c r="J126" s="66"/>
      <c r="K126" s="66"/>
      <c r="L126" s="66"/>
      <c r="M126" s="66"/>
      <c r="N126" s="66"/>
      <c r="O126" s="66"/>
      <c r="P126" s="66"/>
    </row>
    <row r="127" spans="2:16" ht="14.5" outlineLevel="1" x14ac:dyDescent="0.35">
      <c r="B127" s="66"/>
      <c r="C127" s="66"/>
      <c r="D127" s="67"/>
      <c r="E127" s="66"/>
      <c r="F127" s="67"/>
      <c r="G127" s="69" t="s">
        <v>860</v>
      </c>
      <c r="H127" s="66"/>
      <c r="I127" s="66"/>
      <c r="J127" s="66"/>
      <c r="K127" s="66"/>
      <c r="L127" s="66"/>
      <c r="M127" s="66"/>
      <c r="N127" s="66"/>
      <c r="O127" s="66"/>
      <c r="P127" s="66"/>
    </row>
    <row r="128" spans="2:16" ht="14.5" outlineLevel="1" x14ac:dyDescent="0.35">
      <c r="B128" s="66"/>
      <c r="C128" s="66"/>
      <c r="D128" s="67"/>
      <c r="E128" s="66"/>
      <c r="F128" s="67"/>
      <c r="G128" s="69" t="s">
        <v>861</v>
      </c>
      <c r="H128" s="66"/>
      <c r="I128" s="66"/>
      <c r="J128" s="66"/>
      <c r="K128" s="66"/>
      <c r="L128" s="66"/>
      <c r="M128" s="66"/>
      <c r="N128" s="66"/>
      <c r="O128" s="66"/>
      <c r="P128" s="66"/>
    </row>
    <row r="129" spans="2:16" ht="14.5" outlineLevel="1" x14ac:dyDescent="0.35">
      <c r="B129" s="66"/>
      <c r="C129" s="66"/>
      <c r="D129" s="67"/>
      <c r="E129" s="66"/>
      <c r="F129" s="67"/>
      <c r="G129" s="69" t="s">
        <v>862</v>
      </c>
      <c r="H129" s="66"/>
      <c r="I129" s="66"/>
      <c r="J129" s="66"/>
      <c r="K129" s="66"/>
      <c r="L129" s="66"/>
      <c r="M129" s="66"/>
      <c r="N129" s="66"/>
      <c r="O129" s="66"/>
      <c r="P129" s="66"/>
    </row>
    <row r="130" spans="2:16" x14ac:dyDescent="0.35">
      <c r="B130" s="55"/>
      <c r="C130" s="55"/>
      <c r="D130" s="60"/>
      <c r="E130" s="55"/>
      <c r="F130" s="65" t="s">
        <v>865</v>
      </c>
      <c r="G130" s="70"/>
      <c r="H130" s="71" t="s">
        <v>855</v>
      </c>
      <c r="I130" s="73" t="s">
        <v>879</v>
      </c>
      <c r="J130" s="55"/>
      <c r="K130" s="55"/>
      <c r="L130" s="55"/>
      <c r="M130" s="55"/>
      <c r="N130" s="55"/>
      <c r="O130" s="55"/>
      <c r="P130" s="55"/>
    </row>
    <row r="131" spans="2:16" ht="14.5" outlineLevel="1" x14ac:dyDescent="0.35">
      <c r="B131" s="66"/>
      <c r="C131" s="66"/>
      <c r="D131" s="67"/>
      <c r="E131" s="66"/>
      <c r="F131" s="67"/>
      <c r="G131" s="69" t="s">
        <v>880</v>
      </c>
      <c r="H131" s="66"/>
      <c r="I131" s="66"/>
      <c r="J131" s="66"/>
      <c r="K131" s="66"/>
      <c r="L131" s="66"/>
      <c r="M131" s="66"/>
      <c r="N131" s="66"/>
      <c r="O131" s="66"/>
      <c r="P131" s="66"/>
    </row>
    <row r="132" spans="2:16" ht="14.5" outlineLevel="1" x14ac:dyDescent="0.35">
      <c r="B132" s="66"/>
      <c r="C132" s="66"/>
      <c r="D132" s="67"/>
      <c r="E132" s="66"/>
      <c r="F132" s="67"/>
      <c r="G132" s="69" t="s">
        <v>881</v>
      </c>
      <c r="H132" s="66"/>
      <c r="I132" s="66"/>
      <c r="J132" s="66"/>
      <c r="K132" s="66"/>
      <c r="L132" s="66"/>
      <c r="M132" s="66"/>
      <c r="N132" s="66"/>
      <c r="O132" s="66"/>
      <c r="P132" s="66"/>
    </row>
    <row r="133" spans="2:16" ht="14.5" outlineLevel="1" x14ac:dyDescent="0.35">
      <c r="B133" s="66"/>
      <c r="C133" s="66"/>
      <c r="D133" s="67"/>
      <c r="E133" s="66"/>
      <c r="F133" s="67"/>
      <c r="G133" s="69" t="s">
        <v>882</v>
      </c>
      <c r="H133" s="66"/>
      <c r="I133" s="66"/>
      <c r="J133" s="66"/>
      <c r="K133" s="66"/>
      <c r="L133" s="66"/>
      <c r="M133" s="66"/>
      <c r="N133" s="66"/>
      <c r="O133" s="66"/>
      <c r="P133" s="66"/>
    </row>
    <row r="134" spans="2:16" ht="14.5" outlineLevel="1" x14ac:dyDescent="0.35">
      <c r="B134" s="66"/>
      <c r="C134" s="66"/>
      <c r="D134" s="67"/>
      <c r="E134" s="66"/>
      <c r="F134" s="67"/>
      <c r="G134" s="69" t="s">
        <v>883</v>
      </c>
      <c r="H134" s="66"/>
      <c r="I134" s="66"/>
      <c r="J134" s="66"/>
      <c r="K134" s="66"/>
      <c r="L134" s="66"/>
      <c r="M134" s="66"/>
      <c r="N134" s="66"/>
      <c r="O134" s="66"/>
      <c r="P134" s="66"/>
    </row>
    <row r="135" spans="2:16" x14ac:dyDescent="0.35">
      <c r="B135" s="55"/>
      <c r="C135" s="55"/>
      <c r="D135" s="60"/>
      <c r="E135" s="55"/>
      <c r="F135" s="65" t="s">
        <v>866</v>
      </c>
      <c r="G135" s="70"/>
      <c r="H135" s="71" t="s">
        <v>855</v>
      </c>
      <c r="I135" s="73" t="s">
        <v>867</v>
      </c>
      <c r="J135" s="55"/>
      <c r="K135" s="55"/>
      <c r="L135" s="55"/>
      <c r="M135" s="55"/>
      <c r="N135" s="55"/>
      <c r="O135" s="55"/>
      <c r="P135" s="55"/>
    </row>
    <row r="136" spans="2:16" ht="14.5" outlineLevel="1" x14ac:dyDescent="0.35">
      <c r="B136" s="66"/>
      <c r="C136" s="66"/>
      <c r="D136" s="67"/>
      <c r="E136" s="66"/>
      <c r="F136" s="67"/>
      <c r="G136" s="69" t="s">
        <v>859</v>
      </c>
      <c r="H136" s="66"/>
      <c r="I136" s="66"/>
      <c r="J136" s="66"/>
      <c r="K136" s="66"/>
      <c r="L136" s="66"/>
      <c r="M136" s="66"/>
      <c r="N136" s="66"/>
      <c r="O136" s="66"/>
      <c r="P136" s="66"/>
    </row>
    <row r="137" spans="2:16" ht="14.5" outlineLevel="1" x14ac:dyDescent="0.35">
      <c r="B137" s="66"/>
      <c r="C137" s="66"/>
      <c r="D137" s="67"/>
      <c r="E137" s="66"/>
      <c r="F137" s="67"/>
      <c r="G137" s="69" t="s">
        <v>860</v>
      </c>
      <c r="H137" s="66"/>
      <c r="I137" s="66"/>
      <c r="J137" s="66"/>
      <c r="K137" s="66"/>
      <c r="L137" s="66"/>
      <c r="M137" s="66"/>
      <c r="N137" s="66"/>
      <c r="O137" s="66"/>
      <c r="P137" s="66"/>
    </row>
    <row r="138" spans="2:16" ht="14.5" outlineLevel="1" x14ac:dyDescent="0.35">
      <c r="B138" s="66"/>
      <c r="C138" s="66"/>
      <c r="D138" s="67"/>
      <c r="E138" s="66"/>
      <c r="F138" s="67"/>
      <c r="G138" s="69" t="s">
        <v>861</v>
      </c>
      <c r="H138" s="66"/>
      <c r="I138" s="66"/>
      <c r="J138" s="66"/>
      <c r="K138" s="66"/>
      <c r="L138" s="66"/>
      <c r="M138" s="66"/>
      <c r="N138" s="66"/>
      <c r="O138" s="66"/>
      <c r="P138" s="66"/>
    </row>
    <row r="139" spans="2:16" ht="14.5" outlineLevel="1" x14ac:dyDescent="0.35">
      <c r="B139" s="66"/>
      <c r="C139" s="66"/>
      <c r="D139" s="67"/>
      <c r="E139" s="66"/>
      <c r="F139" s="67"/>
      <c r="G139" s="69" t="s">
        <v>862</v>
      </c>
      <c r="H139" s="66"/>
      <c r="I139" s="66"/>
      <c r="J139" s="66"/>
      <c r="K139" s="66"/>
      <c r="L139" s="66"/>
      <c r="M139" s="66"/>
      <c r="N139" s="66"/>
      <c r="O139" s="66"/>
      <c r="P139" s="66"/>
    </row>
  </sheetData>
  <mergeCells count="1">
    <mergeCell ref="B1:P1"/>
  </mergeCells>
  <phoneticPr fontId="29"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7BDA-4F07-471B-8160-1F1AAAB3538C}">
  <sheetPr codeName="Sheet11"/>
  <dimension ref="A1:S179"/>
  <sheetViews>
    <sheetView workbookViewId="0">
      <selection activeCell="K4" sqref="K4"/>
    </sheetView>
  </sheetViews>
  <sheetFormatPr defaultRowHeight="14.5" x14ac:dyDescent="0.35"/>
  <cols>
    <col min="1" max="1" width="10.36328125" customWidth="1"/>
    <col min="2" max="2" width="13.1796875" bestFit="1" customWidth="1"/>
    <col min="3" max="3" width="22.453125" bestFit="1" customWidth="1"/>
    <col min="4" max="4" width="23.1796875" bestFit="1" customWidth="1"/>
    <col min="5" max="6" width="18.26953125" bestFit="1" customWidth="1"/>
    <col min="7" max="7" width="14.6328125" bestFit="1" customWidth="1"/>
    <col min="8" max="8" width="14.453125" bestFit="1" customWidth="1"/>
    <col min="9" max="9" width="11.08984375" customWidth="1"/>
    <col min="10" max="10" width="6.1796875" customWidth="1"/>
    <col min="11" max="11" width="5.36328125" bestFit="1" customWidth="1"/>
    <col min="12" max="12" width="7.7265625" bestFit="1" customWidth="1"/>
    <col min="13" max="13" width="8.26953125" bestFit="1" customWidth="1"/>
    <col min="14" max="15" width="12.453125" style="36" bestFit="1" customWidth="1"/>
    <col min="16" max="16" width="11.90625" bestFit="1" customWidth="1"/>
    <col min="17" max="17" width="11.08984375" bestFit="1" customWidth="1"/>
    <col min="19" max="19" width="18" customWidth="1"/>
  </cols>
  <sheetData>
    <row r="1" spans="1:19" x14ac:dyDescent="0.35">
      <c r="A1" t="s">
        <v>148</v>
      </c>
      <c r="B1" t="s">
        <v>198</v>
      </c>
      <c r="C1" t="s">
        <v>221</v>
      </c>
      <c r="D1" t="s">
        <v>223</v>
      </c>
      <c r="E1" t="s">
        <v>150</v>
      </c>
      <c r="F1" t="s">
        <v>224</v>
      </c>
      <c r="G1" t="s">
        <v>183</v>
      </c>
      <c r="H1" t="s">
        <v>200</v>
      </c>
      <c r="I1" t="s">
        <v>173</v>
      </c>
      <c r="J1" t="s">
        <v>201</v>
      </c>
      <c r="K1" t="s">
        <v>174</v>
      </c>
      <c r="L1" t="s">
        <v>151</v>
      </c>
      <c r="M1" t="s">
        <v>195</v>
      </c>
      <c r="N1" s="36" t="s">
        <v>283</v>
      </c>
      <c r="O1" s="36" t="s">
        <v>162</v>
      </c>
      <c r="P1" t="s">
        <v>149</v>
      </c>
      <c r="Q1" t="s">
        <v>199</v>
      </c>
      <c r="R1" t="s">
        <v>252</v>
      </c>
      <c r="S1" t="s">
        <v>721</v>
      </c>
    </row>
    <row r="2" spans="1:19" x14ac:dyDescent="0.35">
      <c r="A2">
        <v>1</v>
      </c>
      <c r="B2">
        <v>1000</v>
      </c>
      <c r="C2">
        <v>100</v>
      </c>
      <c r="D2">
        <v>101</v>
      </c>
      <c r="E2">
        <v>1000</v>
      </c>
      <c r="F2" t="s">
        <v>158</v>
      </c>
      <c r="G2" t="s">
        <v>171</v>
      </c>
      <c r="H2" t="s">
        <v>176</v>
      </c>
      <c r="I2" t="s">
        <v>176</v>
      </c>
      <c r="J2" t="s">
        <v>722</v>
      </c>
      <c r="K2">
        <v>1</v>
      </c>
      <c r="L2">
        <v>0</v>
      </c>
      <c r="M2">
        <v>2</v>
      </c>
      <c r="N2" s="36">
        <v>45404.630701921298</v>
      </c>
      <c r="O2" s="36">
        <v>45404.630701921298</v>
      </c>
      <c r="P2" t="s">
        <v>723</v>
      </c>
      <c r="Q2">
        <v>1</v>
      </c>
      <c r="R2" t="s">
        <v>724</v>
      </c>
      <c r="S2">
        <v>0</v>
      </c>
    </row>
    <row r="3" spans="1:19" x14ac:dyDescent="0.35">
      <c r="A3">
        <v>2</v>
      </c>
      <c r="B3">
        <v>1000</v>
      </c>
      <c r="C3">
        <v>200</v>
      </c>
      <c r="D3">
        <v>204</v>
      </c>
      <c r="E3">
        <v>1000</v>
      </c>
      <c r="F3" t="s">
        <v>158</v>
      </c>
      <c r="G3" t="s">
        <v>172</v>
      </c>
      <c r="H3" t="s">
        <v>210</v>
      </c>
      <c r="I3" t="s">
        <v>725</v>
      </c>
      <c r="J3" t="s">
        <v>726</v>
      </c>
      <c r="K3">
        <v>4</v>
      </c>
      <c r="L3">
        <v>1</v>
      </c>
      <c r="M3">
        <v>8</v>
      </c>
      <c r="N3" s="36">
        <v>45404.630704733798</v>
      </c>
      <c r="O3" s="36">
        <v>45405.735618125</v>
      </c>
      <c r="P3" t="s">
        <v>774</v>
      </c>
      <c r="Q3">
        <v>1</v>
      </c>
      <c r="R3" t="s">
        <v>724</v>
      </c>
      <c r="S3">
        <v>0</v>
      </c>
    </row>
    <row r="4" spans="1:19" x14ac:dyDescent="0.35">
      <c r="A4">
        <v>3</v>
      </c>
      <c r="B4">
        <v>1001</v>
      </c>
      <c r="C4">
        <v>100</v>
      </c>
      <c r="D4">
        <v>100</v>
      </c>
      <c r="E4">
        <v>1000</v>
      </c>
      <c r="F4" t="s">
        <v>158</v>
      </c>
      <c r="G4" t="s">
        <v>171</v>
      </c>
      <c r="H4" t="s">
        <v>175</v>
      </c>
      <c r="I4" t="s">
        <v>175</v>
      </c>
      <c r="J4" t="s">
        <v>722</v>
      </c>
      <c r="K4">
        <v>2</v>
      </c>
      <c r="L4">
        <v>0</v>
      </c>
      <c r="M4">
        <v>2</v>
      </c>
      <c r="N4" s="36">
        <v>45404.630707326389</v>
      </c>
      <c r="O4" s="36">
        <v>45404.630707326389</v>
      </c>
      <c r="P4" t="s">
        <v>723</v>
      </c>
      <c r="Q4">
        <v>1</v>
      </c>
      <c r="R4" t="s">
        <v>724</v>
      </c>
      <c r="S4">
        <v>0</v>
      </c>
    </row>
    <row r="5" spans="1:19" x14ac:dyDescent="0.35">
      <c r="A5">
        <v>4</v>
      </c>
      <c r="B5">
        <v>1001</v>
      </c>
      <c r="C5">
        <v>200</v>
      </c>
      <c r="D5">
        <v>204</v>
      </c>
      <c r="E5">
        <v>1000</v>
      </c>
      <c r="F5" t="s">
        <v>158</v>
      </c>
      <c r="G5" t="s">
        <v>172</v>
      </c>
      <c r="H5" t="s">
        <v>210</v>
      </c>
      <c r="I5" t="s">
        <v>727</v>
      </c>
      <c r="J5" t="s">
        <v>726</v>
      </c>
      <c r="K5">
        <v>4</v>
      </c>
      <c r="L5">
        <v>1</v>
      </c>
      <c r="M5">
        <v>8</v>
      </c>
      <c r="N5" s="36">
        <v>45404.630709722223</v>
      </c>
      <c r="O5" s="36">
        <v>45405.735619976855</v>
      </c>
      <c r="P5" t="s">
        <v>774</v>
      </c>
      <c r="Q5">
        <v>1</v>
      </c>
      <c r="R5" t="s">
        <v>724</v>
      </c>
      <c r="S5">
        <v>0</v>
      </c>
    </row>
    <row r="6" spans="1:19" x14ac:dyDescent="0.35">
      <c r="A6">
        <v>5</v>
      </c>
      <c r="B6">
        <v>1003</v>
      </c>
      <c r="C6">
        <v>100</v>
      </c>
      <c r="D6">
        <v>100</v>
      </c>
      <c r="E6">
        <v>1000</v>
      </c>
      <c r="F6" t="s">
        <v>158</v>
      </c>
      <c r="G6" t="s">
        <v>171</v>
      </c>
      <c r="H6" t="s">
        <v>175</v>
      </c>
      <c r="I6" t="s">
        <v>175</v>
      </c>
      <c r="J6" t="s">
        <v>722</v>
      </c>
      <c r="K6">
        <v>2</v>
      </c>
      <c r="L6">
        <v>0</v>
      </c>
      <c r="M6">
        <v>2</v>
      </c>
      <c r="N6" s="36">
        <v>45404.630711724538</v>
      </c>
      <c r="O6" s="36">
        <v>45404.630711724538</v>
      </c>
      <c r="P6" t="s">
        <v>723</v>
      </c>
      <c r="Q6">
        <v>1</v>
      </c>
      <c r="R6" t="s">
        <v>724</v>
      </c>
      <c r="S6">
        <v>0</v>
      </c>
    </row>
    <row r="7" spans="1:19" x14ac:dyDescent="0.35">
      <c r="A7">
        <v>6</v>
      </c>
      <c r="B7">
        <v>1003</v>
      </c>
      <c r="C7">
        <v>200</v>
      </c>
      <c r="D7">
        <v>202</v>
      </c>
      <c r="E7">
        <v>1000</v>
      </c>
      <c r="F7" t="s">
        <v>158</v>
      </c>
      <c r="G7" t="s">
        <v>172</v>
      </c>
      <c r="H7" t="s">
        <v>208</v>
      </c>
      <c r="I7" t="s">
        <v>728</v>
      </c>
      <c r="J7" t="s">
        <v>726</v>
      </c>
      <c r="K7">
        <v>6</v>
      </c>
      <c r="L7">
        <v>1</v>
      </c>
      <c r="M7">
        <v>8</v>
      </c>
      <c r="N7" s="36">
        <v>45404.630714050923</v>
      </c>
      <c r="O7" s="36">
        <v>45405.735621817126</v>
      </c>
      <c r="P7" t="s">
        <v>774</v>
      </c>
      <c r="Q7">
        <v>1</v>
      </c>
      <c r="R7" t="s">
        <v>724</v>
      </c>
      <c r="S7">
        <v>0</v>
      </c>
    </row>
    <row r="8" spans="1:19" x14ac:dyDescent="0.35">
      <c r="A8">
        <v>7</v>
      </c>
      <c r="B8">
        <v>1000</v>
      </c>
      <c r="C8">
        <v>6000</v>
      </c>
      <c r="D8">
        <v>6002</v>
      </c>
      <c r="E8">
        <v>2000</v>
      </c>
      <c r="F8" t="s">
        <v>158</v>
      </c>
      <c r="G8" t="s">
        <v>165</v>
      </c>
      <c r="H8" t="s">
        <v>241</v>
      </c>
      <c r="I8" t="s">
        <v>729</v>
      </c>
      <c r="J8" t="s">
        <v>730</v>
      </c>
      <c r="K8">
        <v>0</v>
      </c>
      <c r="L8">
        <v>5</v>
      </c>
      <c r="M8">
        <v>5</v>
      </c>
      <c r="N8" s="36">
        <v>45404.630722939815</v>
      </c>
      <c r="O8" s="36">
        <v>45404.630931527776</v>
      </c>
      <c r="P8" t="s">
        <v>731</v>
      </c>
      <c r="Q8">
        <v>0</v>
      </c>
      <c r="R8" t="s">
        <v>724</v>
      </c>
      <c r="S8">
        <v>0</v>
      </c>
    </row>
    <row r="9" spans="1:19" x14ac:dyDescent="0.35">
      <c r="A9">
        <v>8</v>
      </c>
      <c r="B9">
        <v>1001</v>
      </c>
      <c r="C9">
        <v>6000</v>
      </c>
      <c r="D9">
        <v>6001</v>
      </c>
      <c r="E9">
        <v>2000</v>
      </c>
      <c r="F9" t="s">
        <v>158</v>
      </c>
      <c r="G9" t="s">
        <v>165</v>
      </c>
      <c r="H9" t="s">
        <v>240</v>
      </c>
      <c r="I9" t="s">
        <v>733</v>
      </c>
      <c r="J9" t="s">
        <v>730</v>
      </c>
      <c r="K9">
        <v>3</v>
      </c>
      <c r="L9">
        <v>5</v>
      </c>
      <c r="M9">
        <v>5</v>
      </c>
      <c r="N9" s="36">
        <v>45404.6307265625</v>
      </c>
      <c r="O9" s="36">
        <v>45404.630935370369</v>
      </c>
      <c r="P9" t="s">
        <v>731</v>
      </c>
      <c r="Q9">
        <v>0</v>
      </c>
      <c r="R9" t="s">
        <v>724</v>
      </c>
      <c r="S9">
        <v>0</v>
      </c>
    </row>
    <row r="10" spans="1:19" x14ac:dyDescent="0.35">
      <c r="A10">
        <v>9</v>
      </c>
      <c r="B10">
        <v>1003</v>
      </c>
      <c r="C10">
        <v>6000</v>
      </c>
      <c r="D10">
        <v>6000</v>
      </c>
      <c r="E10">
        <v>2000</v>
      </c>
      <c r="F10" t="s">
        <v>158</v>
      </c>
      <c r="G10" t="s">
        <v>165</v>
      </c>
      <c r="H10" t="s">
        <v>239</v>
      </c>
      <c r="I10" t="s">
        <v>734</v>
      </c>
      <c r="J10" t="s">
        <v>730</v>
      </c>
      <c r="K10">
        <v>5</v>
      </c>
      <c r="L10">
        <v>5</v>
      </c>
      <c r="M10">
        <v>5</v>
      </c>
      <c r="N10" s="36">
        <v>45404.630731064812</v>
      </c>
      <c r="O10" s="36">
        <v>45404.630939178242</v>
      </c>
      <c r="P10" t="s">
        <v>731</v>
      </c>
      <c r="Q10">
        <v>0</v>
      </c>
      <c r="R10" t="s">
        <v>724</v>
      </c>
      <c r="S10">
        <v>0</v>
      </c>
    </row>
    <row r="11" spans="1:19" x14ac:dyDescent="0.35">
      <c r="A11">
        <v>10</v>
      </c>
      <c r="B11">
        <v>1000</v>
      </c>
      <c r="C11">
        <v>15000</v>
      </c>
      <c r="D11">
        <v>15001</v>
      </c>
      <c r="E11">
        <v>2000</v>
      </c>
      <c r="F11" t="s">
        <v>158</v>
      </c>
      <c r="G11" t="s">
        <v>55</v>
      </c>
      <c r="H11" t="s">
        <v>246</v>
      </c>
      <c r="I11" t="s">
        <v>735</v>
      </c>
      <c r="J11" t="s">
        <v>730</v>
      </c>
      <c r="K11">
        <v>2</v>
      </c>
      <c r="L11">
        <v>3</v>
      </c>
      <c r="M11">
        <v>3</v>
      </c>
      <c r="N11" s="36">
        <v>45404.630736851854</v>
      </c>
      <c r="O11" s="36">
        <v>45404.630944259261</v>
      </c>
      <c r="P11" t="s">
        <v>731</v>
      </c>
      <c r="Q11">
        <v>0</v>
      </c>
      <c r="R11" t="s">
        <v>724</v>
      </c>
      <c r="S11">
        <v>0</v>
      </c>
    </row>
    <row r="12" spans="1:19" x14ac:dyDescent="0.35">
      <c r="A12">
        <v>11</v>
      </c>
      <c r="B12">
        <v>1001</v>
      </c>
      <c r="C12">
        <v>15000</v>
      </c>
      <c r="D12">
        <v>15002</v>
      </c>
      <c r="E12">
        <v>2000</v>
      </c>
      <c r="F12" t="s">
        <v>158</v>
      </c>
      <c r="G12" t="s">
        <v>55</v>
      </c>
      <c r="H12" t="s">
        <v>248</v>
      </c>
      <c r="I12" t="s">
        <v>736</v>
      </c>
      <c r="J12" t="s">
        <v>730</v>
      </c>
      <c r="K12">
        <v>1</v>
      </c>
      <c r="L12">
        <v>3</v>
      </c>
      <c r="M12">
        <v>3</v>
      </c>
      <c r="N12" s="36">
        <v>45404.630741331021</v>
      </c>
      <c r="O12" s="36">
        <v>45404.63094826389</v>
      </c>
      <c r="P12" t="s">
        <v>731</v>
      </c>
      <c r="Q12">
        <v>0</v>
      </c>
      <c r="R12" t="s">
        <v>724</v>
      </c>
      <c r="S12">
        <v>0</v>
      </c>
    </row>
    <row r="13" spans="1:19" x14ac:dyDescent="0.35">
      <c r="A13">
        <v>12</v>
      </c>
      <c r="B13">
        <v>1003</v>
      </c>
      <c r="C13">
        <v>15000</v>
      </c>
      <c r="D13">
        <v>15000</v>
      </c>
      <c r="E13">
        <v>2000</v>
      </c>
      <c r="F13" t="s">
        <v>158</v>
      </c>
      <c r="G13" t="s">
        <v>55</v>
      </c>
      <c r="H13" t="s">
        <v>247</v>
      </c>
      <c r="I13" t="s">
        <v>737</v>
      </c>
      <c r="J13" t="s">
        <v>730</v>
      </c>
      <c r="K13">
        <v>3</v>
      </c>
      <c r="L13">
        <v>3</v>
      </c>
      <c r="M13">
        <v>3</v>
      </c>
      <c r="N13" s="36">
        <v>45404.630744884256</v>
      </c>
      <c r="O13" s="36">
        <v>45404.630953078704</v>
      </c>
      <c r="P13" t="s">
        <v>731</v>
      </c>
      <c r="Q13">
        <v>0</v>
      </c>
      <c r="R13" t="s">
        <v>724</v>
      </c>
      <c r="S13">
        <v>0</v>
      </c>
    </row>
    <row r="14" spans="1:19" x14ac:dyDescent="0.35">
      <c r="A14">
        <v>13</v>
      </c>
      <c r="B14">
        <v>1000</v>
      </c>
      <c r="C14">
        <v>1000</v>
      </c>
      <c r="D14">
        <v>1000</v>
      </c>
      <c r="E14">
        <v>2000</v>
      </c>
      <c r="F14" t="s">
        <v>158</v>
      </c>
      <c r="G14" t="s">
        <v>163</v>
      </c>
      <c r="H14" t="s">
        <v>179</v>
      </c>
      <c r="I14" t="s">
        <v>738</v>
      </c>
      <c r="J14" t="s">
        <v>730</v>
      </c>
      <c r="K14">
        <v>2</v>
      </c>
      <c r="L14">
        <v>2</v>
      </c>
      <c r="M14">
        <v>3</v>
      </c>
      <c r="N14" s="36">
        <v>45404.630752939818</v>
      </c>
      <c r="O14" s="36">
        <v>45404.630958263886</v>
      </c>
      <c r="P14" t="s">
        <v>731</v>
      </c>
      <c r="Q14">
        <v>0</v>
      </c>
      <c r="R14" t="s">
        <v>724</v>
      </c>
      <c r="S14">
        <v>0</v>
      </c>
    </row>
    <row r="15" spans="1:19" x14ac:dyDescent="0.35">
      <c r="A15">
        <v>14</v>
      </c>
      <c r="B15">
        <v>1001</v>
      </c>
      <c r="C15">
        <v>1000</v>
      </c>
      <c r="D15">
        <v>1001</v>
      </c>
      <c r="E15">
        <v>2000</v>
      </c>
      <c r="F15" t="s">
        <v>158</v>
      </c>
      <c r="G15" t="s">
        <v>163</v>
      </c>
      <c r="H15" t="s">
        <v>180</v>
      </c>
      <c r="I15" t="s">
        <v>739</v>
      </c>
      <c r="J15" t="s">
        <v>730</v>
      </c>
      <c r="K15">
        <v>3</v>
      </c>
      <c r="L15">
        <v>2</v>
      </c>
      <c r="M15">
        <v>3</v>
      </c>
      <c r="N15" s="36">
        <v>45404.630757824074</v>
      </c>
      <c r="O15" s="36">
        <v>45404.630962233794</v>
      </c>
      <c r="P15" t="s">
        <v>731</v>
      </c>
      <c r="Q15">
        <v>0</v>
      </c>
      <c r="R15" t="s">
        <v>724</v>
      </c>
      <c r="S15">
        <v>0</v>
      </c>
    </row>
    <row r="16" spans="1:19" x14ac:dyDescent="0.35">
      <c r="A16">
        <v>15</v>
      </c>
      <c r="B16">
        <v>1003</v>
      </c>
      <c r="C16">
        <v>1000</v>
      </c>
      <c r="D16">
        <v>1002</v>
      </c>
      <c r="E16">
        <v>2000</v>
      </c>
      <c r="F16" t="s">
        <v>158</v>
      </c>
      <c r="G16" t="s">
        <v>163</v>
      </c>
      <c r="H16" t="s">
        <v>718</v>
      </c>
      <c r="I16" t="s">
        <v>740</v>
      </c>
      <c r="J16" t="s">
        <v>730</v>
      </c>
      <c r="K16">
        <v>2</v>
      </c>
      <c r="L16">
        <v>2</v>
      </c>
      <c r="M16">
        <v>3</v>
      </c>
      <c r="N16" s="36">
        <v>45404.630761064815</v>
      </c>
      <c r="O16" s="36">
        <v>45404.630965590281</v>
      </c>
      <c r="P16" t="s">
        <v>731</v>
      </c>
      <c r="Q16">
        <v>0</v>
      </c>
      <c r="R16" t="s">
        <v>724</v>
      </c>
      <c r="S16">
        <v>0</v>
      </c>
    </row>
    <row r="17" spans="1:19" x14ac:dyDescent="0.35">
      <c r="A17">
        <v>16</v>
      </c>
      <c r="B17">
        <v>1000</v>
      </c>
      <c r="C17">
        <v>3000</v>
      </c>
      <c r="D17">
        <v>3003</v>
      </c>
      <c r="E17">
        <v>2000</v>
      </c>
      <c r="F17" t="s">
        <v>158</v>
      </c>
      <c r="G17" t="s">
        <v>164</v>
      </c>
      <c r="H17" t="s">
        <v>234</v>
      </c>
      <c r="I17" t="s">
        <v>741</v>
      </c>
      <c r="J17" t="s">
        <v>730</v>
      </c>
      <c r="K17">
        <v>1</v>
      </c>
      <c r="L17">
        <v>1</v>
      </c>
      <c r="M17">
        <v>4</v>
      </c>
      <c r="N17" s="36">
        <v>45404.630769027775</v>
      </c>
      <c r="O17" s="36">
        <v>45404.630972037034</v>
      </c>
      <c r="P17" t="s">
        <v>731</v>
      </c>
      <c r="Q17">
        <v>0</v>
      </c>
      <c r="R17" t="s">
        <v>724</v>
      </c>
      <c r="S17">
        <v>0</v>
      </c>
    </row>
    <row r="18" spans="1:19" x14ac:dyDescent="0.35">
      <c r="A18">
        <v>17</v>
      </c>
      <c r="B18">
        <v>1001</v>
      </c>
      <c r="C18">
        <v>3000</v>
      </c>
      <c r="D18">
        <v>3002</v>
      </c>
      <c r="E18">
        <v>2000</v>
      </c>
      <c r="F18" t="s">
        <v>158</v>
      </c>
      <c r="G18" t="s">
        <v>164</v>
      </c>
      <c r="H18" t="s">
        <v>233</v>
      </c>
      <c r="I18" t="s">
        <v>742</v>
      </c>
      <c r="J18" t="s">
        <v>730</v>
      </c>
      <c r="K18">
        <v>2</v>
      </c>
      <c r="L18">
        <v>1</v>
      </c>
      <c r="M18">
        <v>4</v>
      </c>
      <c r="N18" s="36">
        <v>45404.630772187498</v>
      </c>
      <c r="O18" s="36">
        <v>45404.630975925924</v>
      </c>
      <c r="P18" t="s">
        <v>731</v>
      </c>
      <c r="Q18">
        <v>0</v>
      </c>
      <c r="R18" t="s">
        <v>724</v>
      </c>
      <c r="S18">
        <v>0</v>
      </c>
    </row>
    <row r="19" spans="1:19" x14ac:dyDescent="0.35">
      <c r="A19">
        <v>18</v>
      </c>
      <c r="B19">
        <v>1003</v>
      </c>
      <c r="C19">
        <v>3000</v>
      </c>
      <c r="D19">
        <v>3000</v>
      </c>
      <c r="E19">
        <v>2000</v>
      </c>
      <c r="F19" t="s">
        <v>158</v>
      </c>
      <c r="G19" t="s">
        <v>164</v>
      </c>
      <c r="H19" t="s">
        <v>231</v>
      </c>
      <c r="I19" t="s">
        <v>743</v>
      </c>
      <c r="J19" t="s">
        <v>730</v>
      </c>
      <c r="K19">
        <v>4</v>
      </c>
      <c r="L19">
        <v>1</v>
      </c>
      <c r="M19">
        <v>4</v>
      </c>
      <c r="N19" s="36">
        <v>45404.63077491898</v>
      </c>
      <c r="O19" s="36">
        <v>45404.630980104164</v>
      </c>
      <c r="P19" t="s">
        <v>731</v>
      </c>
      <c r="Q19">
        <v>0</v>
      </c>
      <c r="R19" t="s">
        <v>724</v>
      </c>
      <c r="S19">
        <v>0</v>
      </c>
    </row>
    <row r="20" spans="1:19" x14ac:dyDescent="0.35">
      <c r="A20">
        <v>19</v>
      </c>
      <c r="B20">
        <v>1000</v>
      </c>
      <c r="C20">
        <v>7000</v>
      </c>
      <c r="D20">
        <v>7001</v>
      </c>
      <c r="E20">
        <v>2000</v>
      </c>
      <c r="F20" t="s">
        <v>158</v>
      </c>
      <c r="G20" t="s">
        <v>166</v>
      </c>
      <c r="H20" t="s">
        <v>243</v>
      </c>
      <c r="I20" t="s">
        <v>744</v>
      </c>
      <c r="J20" t="s">
        <v>730</v>
      </c>
      <c r="K20">
        <v>2</v>
      </c>
      <c r="L20">
        <v>2</v>
      </c>
      <c r="M20">
        <v>4</v>
      </c>
      <c r="N20" s="36">
        <v>45404.630779270832</v>
      </c>
      <c r="O20" s="36">
        <v>45404.630985266202</v>
      </c>
      <c r="P20" t="s">
        <v>731</v>
      </c>
      <c r="Q20">
        <v>0</v>
      </c>
      <c r="R20" t="s">
        <v>724</v>
      </c>
      <c r="S20">
        <v>0</v>
      </c>
    </row>
    <row r="21" spans="1:19" x14ac:dyDescent="0.35">
      <c r="A21">
        <v>20</v>
      </c>
      <c r="B21">
        <v>1001</v>
      </c>
      <c r="C21">
        <v>7000</v>
      </c>
      <c r="D21">
        <v>7002</v>
      </c>
      <c r="E21">
        <v>2000</v>
      </c>
      <c r="F21" t="s">
        <v>158</v>
      </c>
      <c r="G21" t="s">
        <v>166</v>
      </c>
      <c r="H21" t="s">
        <v>249</v>
      </c>
      <c r="I21" t="s">
        <v>745</v>
      </c>
      <c r="J21" t="s">
        <v>730</v>
      </c>
      <c r="K21">
        <v>0</v>
      </c>
      <c r="L21">
        <v>2</v>
      </c>
      <c r="M21">
        <v>4</v>
      </c>
      <c r="N21" s="36">
        <v>45404.630782638887</v>
      </c>
      <c r="O21" s="36">
        <v>45404.630989363424</v>
      </c>
      <c r="P21" t="s">
        <v>731</v>
      </c>
      <c r="Q21">
        <v>0</v>
      </c>
      <c r="R21" t="s">
        <v>724</v>
      </c>
      <c r="S21">
        <v>0</v>
      </c>
    </row>
    <row r="22" spans="1:19" x14ac:dyDescent="0.35">
      <c r="A22">
        <v>21</v>
      </c>
      <c r="B22">
        <v>1003</v>
      </c>
      <c r="C22">
        <v>7000</v>
      </c>
      <c r="D22">
        <v>7000</v>
      </c>
      <c r="E22">
        <v>2000</v>
      </c>
      <c r="F22" t="s">
        <v>158</v>
      </c>
      <c r="G22" t="s">
        <v>166</v>
      </c>
      <c r="H22" t="s">
        <v>242</v>
      </c>
      <c r="I22" t="s">
        <v>729</v>
      </c>
      <c r="J22" t="s">
        <v>730</v>
      </c>
      <c r="K22">
        <v>4</v>
      </c>
      <c r="L22">
        <v>2</v>
      </c>
      <c r="M22">
        <v>4</v>
      </c>
      <c r="N22" s="36">
        <v>45404.630786296293</v>
      </c>
      <c r="O22" s="36">
        <v>45404.630994155094</v>
      </c>
      <c r="P22" t="s">
        <v>731</v>
      </c>
      <c r="Q22">
        <v>0</v>
      </c>
      <c r="R22" t="s">
        <v>724</v>
      </c>
      <c r="S22">
        <v>0</v>
      </c>
    </row>
    <row r="23" spans="1:19" x14ac:dyDescent="0.35">
      <c r="A23">
        <v>22</v>
      </c>
      <c r="B23">
        <v>1000</v>
      </c>
      <c r="C23">
        <v>2000</v>
      </c>
      <c r="D23">
        <v>2000</v>
      </c>
      <c r="E23">
        <v>2000</v>
      </c>
      <c r="F23" t="s">
        <v>158</v>
      </c>
      <c r="G23" t="s">
        <v>193</v>
      </c>
      <c r="H23" t="s">
        <v>48</v>
      </c>
      <c r="I23" t="s">
        <v>746</v>
      </c>
      <c r="J23" t="s">
        <v>730</v>
      </c>
      <c r="K23">
        <v>4</v>
      </c>
      <c r="L23">
        <v>2</v>
      </c>
      <c r="M23">
        <v>4</v>
      </c>
      <c r="N23" s="36">
        <v>45404.630793055556</v>
      </c>
      <c r="O23" s="36">
        <v>45404.630999432869</v>
      </c>
      <c r="P23" t="s">
        <v>731</v>
      </c>
      <c r="Q23">
        <v>0</v>
      </c>
      <c r="R23" t="s">
        <v>724</v>
      </c>
      <c r="S23">
        <v>0</v>
      </c>
    </row>
    <row r="24" spans="1:19" x14ac:dyDescent="0.35">
      <c r="A24">
        <v>23</v>
      </c>
      <c r="B24">
        <v>1001</v>
      </c>
      <c r="C24">
        <v>2000</v>
      </c>
      <c r="D24">
        <v>2000</v>
      </c>
      <c r="E24">
        <v>2000</v>
      </c>
      <c r="F24" t="s">
        <v>158</v>
      </c>
      <c r="G24" t="s">
        <v>193</v>
      </c>
      <c r="H24" t="s">
        <v>48</v>
      </c>
      <c r="I24" t="s">
        <v>747</v>
      </c>
      <c r="J24" t="s">
        <v>730</v>
      </c>
      <c r="K24">
        <v>4</v>
      </c>
      <c r="L24">
        <v>2</v>
      </c>
      <c r="M24">
        <v>4</v>
      </c>
      <c r="N24" s="36">
        <v>45404.630796724538</v>
      </c>
      <c r="O24" s="36">
        <v>45404.631004699077</v>
      </c>
      <c r="P24" t="s">
        <v>731</v>
      </c>
      <c r="Q24">
        <v>0</v>
      </c>
      <c r="R24" t="s">
        <v>724</v>
      </c>
      <c r="S24">
        <v>0</v>
      </c>
    </row>
    <row r="25" spans="1:19" x14ac:dyDescent="0.35">
      <c r="A25">
        <v>24</v>
      </c>
      <c r="B25">
        <v>1003</v>
      </c>
      <c r="C25">
        <v>2000</v>
      </c>
      <c r="D25">
        <v>2000</v>
      </c>
      <c r="E25">
        <v>2000</v>
      </c>
      <c r="F25" t="s">
        <v>158</v>
      </c>
      <c r="G25" t="s">
        <v>193</v>
      </c>
      <c r="H25" t="s">
        <v>48</v>
      </c>
      <c r="I25" t="s">
        <v>748</v>
      </c>
      <c r="J25" t="s">
        <v>730</v>
      </c>
      <c r="K25">
        <v>4</v>
      </c>
      <c r="L25">
        <v>2</v>
      </c>
      <c r="M25">
        <v>4</v>
      </c>
      <c r="N25" s="36">
        <v>45404.630800069448</v>
      </c>
      <c r="O25" s="36">
        <v>45404.631008761571</v>
      </c>
      <c r="P25" t="s">
        <v>731</v>
      </c>
      <c r="Q25">
        <v>0</v>
      </c>
      <c r="R25" t="s">
        <v>724</v>
      </c>
      <c r="S25">
        <v>0</v>
      </c>
    </row>
    <row r="26" spans="1:19" x14ac:dyDescent="0.35">
      <c r="A26">
        <v>25</v>
      </c>
      <c r="B26">
        <v>1000</v>
      </c>
      <c r="C26">
        <v>16000</v>
      </c>
      <c r="D26">
        <v>16000</v>
      </c>
      <c r="E26">
        <v>2000</v>
      </c>
      <c r="F26" t="s">
        <v>158</v>
      </c>
      <c r="G26" t="s">
        <v>56</v>
      </c>
      <c r="H26" t="s">
        <v>41</v>
      </c>
      <c r="I26" t="s">
        <v>749</v>
      </c>
      <c r="J26" t="s">
        <v>730</v>
      </c>
      <c r="K26">
        <v>5</v>
      </c>
      <c r="L26">
        <v>4</v>
      </c>
      <c r="M26">
        <v>5</v>
      </c>
      <c r="N26" s="36">
        <v>45404.630804363427</v>
      </c>
      <c r="O26" s="36">
        <v>45404.631014687497</v>
      </c>
      <c r="P26" t="s">
        <v>731</v>
      </c>
      <c r="Q26">
        <v>0</v>
      </c>
      <c r="R26" t="s">
        <v>724</v>
      </c>
      <c r="S26">
        <v>0</v>
      </c>
    </row>
    <row r="27" spans="1:19" x14ac:dyDescent="0.35">
      <c r="A27">
        <v>26</v>
      </c>
      <c r="B27">
        <v>1001</v>
      </c>
      <c r="C27">
        <v>16000</v>
      </c>
      <c r="D27">
        <v>16001</v>
      </c>
      <c r="E27">
        <v>2000</v>
      </c>
      <c r="F27" t="s">
        <v>158</v>
      </c>
      <c r="G27" t="s">
        <v>56</v>
      </c>
      <c r="H27" t="s">
        <v>203</v>
      </c>
      <c r="I27" t="s">
        <v>750</v>
      </c>
      <c r="J27" t="s">
        <v>730</v>
      </c>
      <c r="K27">
        <v>4</v>
      </c>
      <c r="L27">
        <v>4</v>
      </c>
      <c r="M27">
        <v>5</v>
      </c>
      <c r="N27" s="36">
        <v>45404.630807777779</v>
      </c>
      <c r="O27" s="36">
        <v>45404.631018113425</v>
      </c>
      <c r="P27" t="s">
        <v>731</v>
      </c>
      <c r="Q27">
        <v>0</v>
      </c>
      <c r="R27" t="s">
        <v>724</v>
      </c>
      <c r="S27">
        <v>0</v>
      </c>
    </row>
    <row r="28" spans="1:19" x14ac:dyDescent="0.35">
      <c r="A28">
        <v>27</v>
      </c>
      <c r="B28">
        <v>1003</v>
      </c>
      <c r="C28">
        <v>16000</v>
      </c>
      <c r="D28">
        <v>16002</v>
      </c>
      <c r="E28">
        <v>2000</v>
      </c>
      <c r="F28" t="s">
        <v>158</v>
      </c>
      <c r="G28" t="s">
        <v>56</v>
      </c>
      <c r="H28" t="s">
        <v>204</v>
      </c>
      <c r="I28" t="s">
        <v>751</v>
      </c>
      <c r="J28" t="s">
        <v>730</v>
      </c>
      <c r="K28">
        <v>3</v>
      </c>
      <c r="L28">
        <v>4</v>
      </c>
      <c r="M28">
        <v>5</v>
      </c>
      <c r="N28" s="36">
        <v>45404.630810381947</v>
      </c>
      <c r="O28" s="36">
        <v>45404.631023148148</v>
      </c>
      <c r="P28" t="s">
        <v>731</v>
      </c>
      <c r="Q28">
        <v>0</v>
      </c>
      <c r="R28" t="s">
        <v>724</v>
      </c>
      <c r="S28">
        <v>0</v>
      </c>
    </row>
    <row r="29" spans="1:19" x14ac:dyDescent="0.35">
      <c r="A29">
        <v>28</v>
      </c>
      <c r="B29">
        <v>1000</v>
      </c>
      <c r="C29">
        <v>17000</v>
      </c>
      <c r="D29">
        <v>17005</v>
      </c>
      <c r="E29">
        <v>2000</v>
      </c>
      <c r="F29" t="s">
        <v>158</v>
      </c>
      <c r="G29" t="s">
        <v>57</v>
      </c>
      <c r="H29" t="s">
        <v>266</v>
      </c>
      <c r="I29" t="s">
        <v>752</v>
      </c>
      <c r="J29" t="s">
        <v>753</v>
      </c>
      <c r="K29">
        <v>1</v>
      </c>
      <c r="L29">
        <v>2</v>
      </c>
      <c r="M29">
        <v>5</v>
      </c>
      <c r="N29" s="36">
        <v>45404.630814745367</v>
      </c>
      <c r="O29" s="36">
        <v>45404.631028819444</v>
      </c>
      <c r="P29" t="s">
        <v>731</v>
      </c>
      <c r="Q29">
        <v>0</v>
      </c>
      <c r="R29" t="s">
        <v>724</v>
      </c>
      <c r="S29">
        <v>0</v>
      </c>
    </row>
    <row r="30" spans="1:19" x14ac:dyDescent="0.35">
      <c r="A30">
        <v>29</v>
      </c>
      <c r="B30">
        <v>1001</v>
      </c>
      <c r="C30">
        <v>17000</v>
      </c>
      <c r="D30">
        <v>17000</v>
      </c>
      <c r="E30">
        <v>2000</v>
      </c>
      <c r="F30" t="s">
        <v>158</v>
      </c>
      <c r="G30" t="s">
        <v>57</v>
      </c>
      <c r="H30" t="s">
        <v>41</v>
      </c>
      <c r="I30" t="s">
        <v>754</v>
      </c>
      <c r="J30" t="s">
        <v>753</v>
      </c>
      <c r="K30">
        <v>5</v>
      </c>
      <c r="L30">
        <v>2</v>
      </c>
      <c r="M30">
        <v>5</v>
      </c>
      <c r="N30" s="36">
        <v>45404.630818645834</v>
      </c>
      <c r="O30" s="36">
        <v>45404.631033645834</v>
      </c>
      <c r="P30" t="s">
        <v>731</v>
      </c>
      <c r="Q30">
        <v>0</v>
      </c>
      <c r="R30" t="s">
        <v>724</v>
      </c>
      <c r="S30">
        <v>0</v>
      </c>
    </row>
    <row r="31" spans="1:19" x14ac:dyDescent="0.35">
      <c r="A31">
        <v>30</v>
      </c>
      <c r="B31">
        <v>1003</v>
      </c>
      <c r="C31">
        <v>17000</v>
      </c>
      <c r="D31">
        <v>17003</v>
      </c>
      <c r="E31">
        <v>2000</v>
      </c>
      <c r="F31" t="s">
        <v>158</v>
      </c>
      <c r="G31" t="s">
        <v>57</v>
      </c>
      <c r="H31" t="s">
        <v>99</v>
      </c>
      <c r="I31" t="s">
        <v>755</v>
      </c>
      <c r="J31" t="s">
        <v>753</v>
      </c>
      <c r="K31">
        <v>2</v>
      </c>
      <c r="L31">
        <v>2</v>
      </c>
      <c r="M31">
        <v>5</v>
      </c>
      <c r="N31" s="36">
        <v>45404.630821932871</v>
      </c>
      <c r="O31" s="36">
        <v>45404.631039247688</v>
      </c>
      <c r="P31" t="s">
        <v>731</v>
      </c>
      <c r="Q31">
        <v>0</v>
      </c>
      <c r="R31" t="s">
        <v>724</v>
      </c>
      <c r="S31">
        <v>0</v>
      </c>
    </row>
    <row r="32" spans="1:19" x14ac:dyDescent="0.35">
      <c r="A32">
        <v>31</v>
      </c>
      <c r="B32">
        <v>1000</v>
      </c>
      <c r="C32">
        <v>18000</v>
      </c>
      <c r="D32">
        <v>18005</v>
      </c>
      <c r="E32">
        <v>2000</v>
      </c>
      <c r="F32" t="s">
        <v>158</v>
      </c>
      <c r="G32" t="s">
        <v>58</v>
      </c>
      <c r="H32" t="s">
        <v>266</v>
      </c>
      <c r="I32" t="s">
        <v>756</v>
      </c>
      <c r="J32" t="s">
        <v>757</v>
      </c>
      <c r="K32">
        <v>1</v>
      </c>
      <c r="L32">
        <v>3</v>
      </c>
      <c r="M32">
        <v>5</v>
      </c>
      <c r="N32" s="36">
        <v>45404.630827048612</v>
      </c>
      <c r="O32" s="36">
        <v>45404.631047881943</v>
      </c>
      <c r="P32" t="s">
        <v>731</v>
      </c>
      <c r="Q32">
        <v>0</v>
      </c>
      <c r="R32" t="s">
        <v>724</v>
      </c>
      <c r="S32">
        <v>0</v>
      </c>
    </row>
    <row r="33" spans="1:19" x14ac:dyDescent="0.35">
      <c r="A33">
        <v>32</v>
      </c>
      <c r="B33">
        <v>1001</v>
      </c>
      <c r="C33">
        <v>18000</v>
      </c>
      <c r="D33">
        <v>18006</v>
      </c>
      <c r="E33">
        <v>2000</v>
      </c>
      <c r="F33" t="s">
        <v>158</v>
      </c>
      <c r="G33" t="s">
        <v>58</v>
      </c>
      <c r="H33" t="s">
        <v>267</v>
      </c>
      <c r="I33" t="s">
        <v>758</v>
      </c>
      <c r="J33" t="s">
        <v>757</v>
      </c>
      <c r="K33">
        <v>3</v>
      </c>
      <c r="L33">
        <v>3</v>
      </c>
      <c r="M33">
        <v>5</v>
      </c>
      <c r="N33" s="36">
        <v>45404.630829513888</v>
      </c>
      <c r="O33" s="36">
        <v>45404.631051377313</v>
      </c>
      <c r="P33" t="s">
        <v>731</v>
      </c>
      <c r="Q33">
        <v>0</v>
      </c>
      <c r="R33" t="s">
        <v>724</v>
      </c>
      <c r="S33">
        <v>0</v>
      </c>
    </row>
    <row r="34" spans="1:19" x14ac:dyDescent="0.35">
      <c r="A34">
        <v>33</v>
      </c>
      <c r="B34">
        <v>1003</v>
      </c>
      <c r="C34">
        <v>18000</v>
      </c>
      <c r="D34">
        <v>18000</v>
      </c>
      <c r="E34">
        <v>2000</v>
      </c>
      <c r="F34" t="s">
        <v>158</v>
      </c>
      <c r="G34" t="s">
        <v>58</v>
      </c>
      <c r="H34" t="s">
        <v>41</v>
      </c>
      <c r="I34" t="s">
        <v>759</v>
      </c>
      <c r="J34" t="s">
        <v>757</v>
      </c>
      <c r="K34">
        <v>5</v>
      </c>
      <c r="L34">
        <v>3</v>
      </c>
      <c r="M34">
        <v>5</v>
      </c>
      <c r="N34" s="36">
        <v>45404.630831886578</v>
      </c>
      <c r="O34" s="36">
        <v>45404.631056261576</v>
      </c>
      <c r="P34" t="s">
        <v>731</v>
      </c>
      <c r="Q34">
        <v>0</v>
      </c>
      <c r="R34" t="s">
        <v>724</v>
      </c>
      <c r="S34">
        <v>0</v>
      </c>
    </row>
    <row r="35" spans="1:19" x14ac:dyDescent="0.35">
      <c r="A35">
        <v>34</v>
      </c>
      <c r="B35">
        <v>1000</v>
      </c>
      <c r="C35">
        <v>4000</v>
      </c>
      <c r="D35">
        <v>4000</v>
      </c>
      <c r="E35">
        <v>3000</v>
      </c>
      <c r="F35" t="s">
        <v>158</v>
      </c>
      <c r="G35" t="s">
        <v>184</v>
      </c>
      <c r="H35" t="s">
        <v>2</v>
      </c>
      <c r="I35" t="s">
        <v>2</v>
      </c>
      <c r="J35" t="s">
        <v>722</v>
      </c>
      <c r="K35">
        <v>4</v>
      </c>
      <c r="L35">
        <v>2</v>
      </c>
      <c r="M35">
        <v>4</v>
      </c>
      <c r="N35" s="36">
        <v>45042.630836631943</v>
      </c>
      <c r="O35" s="36">
        <v>45042.630854826391</v>
      </c>
      <c r="P35" t="s">
        <v>760</v>
      </c>
      <c r="Q35">
        <v>1</v>
      </c>
      <c r="R35" t="s">
        <v>724</v>
      </c>
      <c r="S35">
        <v>1713812904204</v>
      </c>
    </row>
    <row r="36" spans="1:19" x14ac:dyDescent="0.35">
      <c r="A36">
        <v>35</v>
      </c>
      <c r="B36">
        <v>1000</v>
      </c>
      <c r="C36">
        <v>5000</v>
      </c>
      <c r="D36">
        <v>5000</v>
      </c>
      <c r="E36">
        <v>3000</v>
      </c>
      <c r="F36" t="s">
        <v>158</v>
      </c>
      <c r="G36" t="s">
        <v>3</v>
      </c>
      <c r="H36" t="s">
        <v>78</v>
      </c>
      <c r="I36" t="s">
        <v>78</v>
      </c>
      <c r="J36" t="s">
        <v>722</v>
      </c>
      <c r="K36">
        <v>4</v>
      </c>
      <c r="L36">
        <v>2</v>
      </c>
      <c r="M36">
        <v>4</v>
      </c>
      <c r="N36" s="36">
        <v>45042.630839756945</v>
      </c>
      <c r="O36" s="36">
        <v>45042.63085642361</v>
      </c>
      <c r="P36" t="s">
        <v>760</v>
      </c>
      <c r="Q36">
        <v>1</v>
      </c>
      <c r="R36" t="s">
        <v>724</v>
      </c>
      <c r="S36">
        <v>1713812904204</v>
      </c>
    </row>
    <row r="37" spans="1:19" x14ac:dyDescent="0.35">
      <c r="A37">
        <v>36</v>
      </c>
      <c r="B37">
        <v>1000</v>
      </c>
      <c r="C37">
        <v>8000</v>
      </c>
      <c r="D37">
        <v>8000</v>
      </c>
      <c r="E37">
        <v>3000</v>
      </c>
      <c r="F37" t="s">
        <v>158</v>
      </c>
      <c r="G37" t="s">
        <v>167</v>
      </c>
      <c r="H37" t="s">
        <v>2</v>
      </c>
      <c r="I37" t="s">
        <v>2</v>
      </c>
      <c r="J37" t="s">
        <v>722</v>
      </c>
      <c r="K37">
        <v>4</v>
      </c>
      <c r="L37">
        <v>2</v>
      </c>
      <c r="M37">
        <v>4</v>
      </c>
      <c r="N37" s="36">
        <v>45042.63084189815</v>
      </c>
      <c r="O37" s="36">
        <v>45042.630857789351</v>
      </c>
      <c r="P37" t="s">
        <v>760</v>
      </c>
      <c r="Q37">
        <v>1</v>
      </c>
      <c r="R37" t="s">
        <v>724</v>
      </c>
      <c r="S37">
        <v>1713812904204</v>
      </c>
    </row>
    <row r="38" spans="1:19" x14ac:dyDescent="0.35">
      <c r="A38">
        <v>37</v>
      </c>
      <c r="B38">
        <v>1000</v>
      </c>
      <c r="C38">
        <v>9000</v>
      </c>
      <c r="D38">
        <v>9000</v>
      </c>
      <c r="E38">
        <v>3000</v>
      </c>
      <c r="F38" t="s">
        <v>158</v>
      </c>
      <c r="G38" t="s">
        <v>168</v>
      </c>
      <c r="H38" t="s">
        <v>12</v>
      </c>
      <c r="I38" t="s">
        <v>12</v>
      </c>
      <c r="J38" t="s">
        <v>722</v>
      </c>
      <c r="K38">
        <v>4</v>
      </c>
      <c r="L38">
        <v>4</v>
      </c>
      <c r="M38">
        <v>4</v>
      </c>
      <c r="N38" s="36">
        <v>45042.63084351852</v>
      </c>
      <c r="O38" s="36">
        <v>45042.630858888886</v>
      </c>
      <c r="P38" t="s">
        <v>760</v>
      </c>
      <c r="Q38">
        <v>1</v>
      </c>
      <c r="R38" t="s">
        <v>724</v>
      </c>
      <c r="S38">
        <v>1713812904204</v>
      </c>
    </row>
    <row r="39" spans="1:19" x14ac:dyDescent="0.35">
      <c r="A39">
        <v>38</v>
      </c>
      <c r="B39">
        <v>1000</v>
      </c>
      <c r="C39">
        <v>10000</v>
      </c>
      <c r="D39">
        <v>10001</v>
      </c>
      <c r="E39">
        <v>3000</v>
      </c>
      <c r="F39" t="s">
        <v>158</v>
      </c>
      <c r="G39" t="s">
        <v>169</v>
      </c>
      <c r="H39" t="s">
        <v>2</v>
      </c>
      <c r="I39" t="s">
        <v>2</v>
      </c>
      <c r="J39" t="s">
        <v>722</v>
      </c>
      <c r="K39">
        <v>4</v>
      </c>
      <c r="L39">
        <v>4</v>
      </c>
      <c r="M39">
        <v>4</v>
      </c>
      <c r="N39" s="36">
        <v>45042.63084607639</v>
      </c>
      <c r="O39" s="36">
        <v>45042.630859953701</v>
      </c>
      <c r="P39" t="s">
        <v>760</v>
      </c>
      <c r="Q39">
        <v>1</v>
      </c>
      <c r="R39" t="s">
        <v>724</v>
      </c>
      <c r="S39">
        <v>1713812904204</v>
      </c>
    </row>
    <row r="40" spans="1:19" x14ac:dyDescent="0.35">
      <c r="A40">
        <v>39</v>
      </c>
      <c r="B40">
        <v>1000</v>
      </c>
      <c r="C40">
        <v>11000</v>
      </c>
      <c r="D40">
        <v>11000</v>
      </c>
      <c r="E40">
        <v>3000</v>
      </c>
      <c r="F40" t="s">
        <v>158</v>
      </c>
      <c r="G40" t="s">
        <v>170</v>
      </c>
      <c r="H40" t="s">
        <v>2</v>
      </c>
      <c r="I40" t="s">
        <v>2</v>
      </c>
      <c r="J40" t="s">
        <v>722</v>
      </c>
      <c r="K40">
        <v>4</v>
      </c>
      <c r="L40">
        <v>4</v>
      </c>
      <c r="M40">
        <v>4</v>
      </c>
      <c r="N40" s="36">
        <v>45042.630848946763</v>
      </c>
      <c r="O40" s="36">
        <v>45042.630861041667</v>
      </c>
      <c r="P40" t="s">
        <v>760</v>
      </c>
      <c r="Q40">
        <v>1</v>
      </c>
      <c r="R40" t="s">
        <v>724</v>
      </c>
      <c r="S40">
        <v>1713812904204</v>
      </c>
    </row>
    <row r="41" spans="1:19" x14ac:dyDescent="0.35">
      <c r="A41">
        <v>40</v>
      </c>
      <c r="B41">
        <v>1000</v>
      </c>
      <c r="C41">
        <v>12000</v>
      </c>
      <c r="D41">
        <v>12000</v>
      </c>
      <c r="E41">
        <v>3000</v>
      </c>
      <c r="F41" t="s">
        <v>158</v>
      </c>
      <c r="G41" t="s">
        <v>16</v>
      </c>
      <c r="H41" t="s">
        <v>17</v>
      </c>
      <c r="I41" t="s">
        <v>17</v>
      </c>
      <c r="J41" t="s">
        <v>722</v>
      </c>
      <c r="K41">
        <v>4</v>
      </c>
      <c r="L41">
        <v>2</v>
      </c>
      <c r="M41">
        <v>4</v>
      </c>
      <c r="N41" s="36">
        <v>45042.630851273148</v>
      </c>
      <c r="O41" s="36">
        <v>45042.630862199076</v>
      </c>
      <c r="P41" t="s">
        <v>760</v>
      </c>
      <c r="Q41">
        <v>1</v>
      </c>
      <c r="R41" t="s">
        <v>724</v>
      </c>
      <c r="S41">
        <v>1713812904204</v>
      </c>
    </row>
    <row r="42" spans="1:19" x14ac:dyDescent="0.35">
      <c r="A42">
        <v>41</v>
      </c>
      <c r="B42">
        <v>1000</v>
      </c>
      <c r="C42">
        <v>13000</v>
      </c>
      <c r="D42">
        <v>13000</v>
      </c>
      <c r="E42">
        <v>3000</v>
      </c>
      <c r="F42" t="s">
        <v>158</v>
      </c>
      <c r="G42" t="s">
        <v>21</v>
      </c>
      <c r="H42" t="s">
        <v>22</v>
      </c>
      <c r="I42" t="s">
        <v>22</v>
      </c>
      <c r="J42" t="s">
        <v>722</v>
      </c>
      <c r="K42">
        <v>4</v>
      </c>
      <c r="L42">
        <v>2</v>
      </c>
      <c r="M42">
        <v>4</v>
      </c>
      <c r="N42" s="36">
        <v>45042.630853055554</v>
      </c>
      <c r="O42" s="36">
        <v>45042.630863472223</v>
      </c>
      <c r="P42" t="s">
        <v>760</v>
      </c>
      <c r="Q42">
        <v>1</v>
      </c>
      <c r="R42" t="s">
        <v>724</v>
      </c>
      <c r="S42">
        <v>1713812904204</v>
      </c>
    </row>
    <row r="43" spans="1:19" x14ac:dyDescent="0.35">
      <c r="A43">
        <v>42</v>
      </c>
      <c r="B43">
        <v>1001</v>
      </c>
      <c r="C43">
        <v>4000</v>
      </c>
      <c r="D43">
        <v>4000</v>
      </c>
      <c r="E43">
        <v>3000</v>
      </c>
      <c r="F43" t="s">
        <v>158</v>
      </c>
      <c r="G43" t="s">
        <v>184</v>
      </c>
      <c r="H43" t="s">
        <v>2</v>
      </c>
      <c r="I43" t="s">
        <v>2</v>
      </c>
      <c r="J43" t="s">
        <v>722</v>
      </c>
      <c r="K43">
        <v>4</v>
      </c>
      <c r="L43">
        <v>2</v>
      </c>
      <c r="M43">
        <v>4</v>
      </c>
      <c r="N43" s="36">
        <v>45042.630867974534</v>
      </c>
      <c r="O43" s="36">
        <v>45042.630884814818</v>
      </c>
      <c r="P43" t="s">
        <v>760</v>
      </c>
      <c r="Q43">
        <v>1</v>
      </c>
      <c r="R43" t="s">
        <v>724</v>
      </c>
      <c r="S43">
        <v>1713812906888</v>
      </c>
    </row>
    <row r="44" spans="1:19" x14ac:dyDescent="0.35">
      <c r="A44">
        <v>43</v>
      </c>
      <c r="B44">
        <v>1001</v>
      </c>
      <c r="C44">
        <v>5000</v>
      </c>
      <c r="D44">
        <v>5000</v>
      </c>
      <c r="E44">
        <v>3000</v>
      </c>
      <c r="F44" t="s">
        <v>158</v>
      </c>
      <c r="G44" t="s">
        <v>3</v>
      </c>
      <c r="H44" t="s">
        <v>78</v>
      </c>
      <c r="I44" t="s">
        <v>78</v>
      </c>
      <c r="J44" t="s">
        <v>722</v>
      </c>
      <c r="K44">
        <v>4</v>
      </c>
      <c r="L44">
        <v>2</v>
      </c>
      <c r="M44">
        <v>4</v>
      </c>
      <c r="N44" s="36">
        <v>45042.630870636574</v>
      </c>
      <c r="O44" s="36">
        <v>45042.630886192128</v>
      </c>
      <c r="P44" t="s">
        <v>760</v>
      </c>
      <c r="Q44">
        <v>1</v>
      </c>
      <c r="R44" t="s">
        <v>724</v>
      </c>
      <c r="S44">
        <v>1713812906888</v>
      </c>
    </row>
    <row r="45" spans="1:19" x14ac:dyDescent="0.35">
      <c r="A45">
        <v>44</v>
      </c>
      <c r="B45">
        <v>1001</v>
      </c>
      <c r="C45">
        <v>8000</v>
      </c>
      <c r="D45">
        <v>8000</v>
      </c>
      <c r="E45">
        <v>3000</v>
      </c>
      <c r="F45" t="s">
        <v>158</v>
      </c>
      <c r="G45" t="s">
        <v>167</v>
      </c>
      <c r="H45" t="s">
        <v>2</v>
      </c>
      <c r="I45" t="s">
        <v>2</v>
      </c>
      <c r="J45" t="s">
        <v>722</v>
      </c>
      <c r="K45">
        <v>4</v>
      </c>
      <c r="L45">
        <v>2</v>
      </c>
      <c r="M45">
        <v>4</v>
      </c>
      <c r="N45" s="36">
        <v>45042.630872152775</v>
      </c>
      <c r="O45" s="36">
        <v>45042.630887233798</v>
      </c>
      <c r="P45" t="s">
        <v>760</v>
      </c>
      <c r="Q45">
        <v>1</v>
      </c>
      <c r="R45" t="s">
        <v>724</v>
      </c>
      <c r="S45">
        <v>1713812906888</v>
      </c>
    </row>
    <row r="46" spans="1:19" x14ac:dyDescent="0.35">
      <c r="A46">
        <v>45</v>
      </c>
      <c r="B46">
        <v>1001</v>
      </c>
      <c r="C46">
        <v>9000</v>
      </c>
      <c r="D46">
        <v>9000</v>
      </c>
      <c r="E46">
        <v>3000</v>
      </c>
      <c r="F46" t="s">
        <v>158</v>
      </c>
      <c r="G46" t="s">
        <v>168</v>
      </c>
      <c r="H46" t="s">
        <v>12</v>
      </c>
      <c r="I46" t="s">
        <v>12</v>
      </c>
      <c r="J46" t="s">
        <v>722</v>
      </c>
      <c r="K46">
        <v>4</v>
      </c>
      <c r="L46">
        <v>4</v>
      </c>
      <c r="M46">
        <v>4</v>
      </c>
      <c r="N46" s="36">
        <v>45042.630874861112</v>
      </c>
      <c r="O46" s="36">
        <v>45042.63088837963</v>
      </c>
      <c r="P46" t="s">
        <v>760</v>
      </c>
      <c r="Q46">
        <v>1</v>
      </c>
      <c r="R46" t="s">
        <v>724</v>
      </c>
      <c r="S46">
        <v>1713812906888</v>
      </c>
    </row>
    <row r="47" spans="1:19" x14ac:dyDescent="0.35">
      <c r="A47">
        <v>46</v>
      </c>
      <c r="B47">
        <v>1001</v>
      </c>
      <c r="C47">
        <v>10000</v>
      </c>
      <c r="D47">
        <v>10001</v>
      </c>
      <c r="E47">
        <v>3000</v>
      </c>
      <c r="F47" t="s">
        <v>158</v>
      </c>
      <c r="G47" t="s">
        <v>169</v>
      </c>
      <c r="H47" t="s">
        <v>2</v>
      </c>
      <c r="I47" t="s">
        <v>2</v>
      </c>
      <c r="J47" t="s">
        <v>722</v>
      </c>
      <c r="K47">
        <v>4</v>
      </c>
      <c r="L47">
        <v>4</v>
      </c>
      <c r="M47">
        <v>4</v>
      </c>
      <c r="N47" s="36">
        <v>45042.630877060183</v>
      </c>
      <c r="O47" s="36">
        <v>45042.630889490742</v>
      </c>
      <c r="P47" t="s">
        <v>760</v>
      </c>
      <c r="Q47">
        <v>1</v>
      </c>
      <c r="R47" t="s">
        <v>724</v>
      </c>
      <c r="S47">
        <v>1713812906888</v>
      </c>
    </row>
    <row r="48" spans="1:19" x14ac:dyDescent="0.35">
      <c r="A48">
        <v>47</v>
      </c>
      <c r="B48">
        <v>1001</v>
      </c>
      <c r="C48">
        <v>11000</v>
      </c>
      <c r="D48">
        <v>11000</v>
      </c>
      <c r="E48">
        <v>3000</v>
      </c>
      <c r="F48" t="s">
        <v>158</v>
      </c>
      <c r="G48" t="s">
        <v>170</v>
      </c>
      <c r="H48" t="s">
        <v>2</v>
      </c>
      <c r="I48" t="s">
        <v>2</v>
      </c>
      <c r="J48" t="s">
        <v>722</v>
      </c>
      <c r="K48">
        <v>4</v>
      </c>
      <c r="L48">
        <v>4</v>
      </c>
      <c r="M48">
        <v>4</v>
      </c>
      <c r="N48" s="36">
        <v>45042.630879212964</v>
      </c>
      <c r="O48" s="36">
        <v>45042.630890798609</v>
      </c>
      <c r="P48" t="s">
        <v>760</v>
      </c>
      <c r="Q48">
        <v>1</v>
      </c>
      <c r="R48" t="s">
        <v>724</v>
      </c>
      <c r="S48">
        <v>1713812906888</v>
      </c>
    </row>
    <row r="49" spans="1:19" x14ac:dyDescent="0.35">
      <c r="A49">
        <v>48</v>
      </c>
      <c r="B49">
        <v>1001</v>
      </c>
      <c r="C49">
        <v>12000</v>
      </c>
      <c r="D49">
        <v>12000</v>
      </c>
      <c r="E49">
        <v>3000</v>
      </c>
      <c r="F49" t="s">
        <v>158</v>
      </c>
      <c r="G49" t="s">
        <v>16</v>
      </c>
      <c r="H49" t="s">
        <v>17</v>
      </c>
      <c r="I49" t="s">
        <v>17</v>
      </c>
      <c r="J49" t="s">
        <v>722</v>
      </c>
      <c r="K49">
        <v>4</v>
      </c>
      <c r="L49">
        <v>2</v>
      </c>
      <c r="M49">
        <v>4</v>
      </c>
      <c r="N49" s="36">
        <v>45042.630881064812</v>
      </c>
      <c r="O49" s="36">
        <v>45042.630891909721</v>
      </c>
      <c r="P49" t="s">
        <v>760</v>
      </c>
      <c r="Q49">
        <v>1</v>
      </c>
      <c r="R49" t="s">
        <v>724</v>
      </c>
      <c r="S49">
        <v>1713812906888</v>
      </c>
    </row>
    <row r="50" spans="1:19" x14ac:dyDescent="0.35">
      <c r="A50">
        <v>49</v>
      </c>
      <c r="B50">
        <v>1001</v>
      </c>
      <c r="C50">
        <v>13000</v>
      </c>
      <c r="D50">
        <v>13000</v>
      </c>
      <c r="E50">
        <v>3000</v>
      </c>
      <c r="F50" t="s">
        <v>158</v>
      </c>
      <c r="G50" t="s">
        <v>21</v>
      </c>
      <c r="H50" t="s">
        <v>22</v>
      </c>
      <c r="I50" t="s">
        <v>22</v>
      </c>
      <c r="J50" t="s">
        <v>722</v>
      </c>
      <c r="K50">
        <v>4</v>
      </c>
      <c r="L50">
        <v>2</v>
      </c>
      <c r="M50">
        <v>4</v>
      </c>
      <c r="N50" s="36">
        <v>45042.630882754631</v>
      </c>
      <c r="O50" s="36">
        <v>45042.630893159723</v>
      </c>
      <c r="P50" t="s">
        <v>760</v>
      </c>
      <c r="Q50">
        <v>1</v>
      </c>
      <c r="R50" t="s">
        <v>724</v>
      </c>
      <c r="S50">
        <v>1713812906888</v>
      </c>
    </row>
    <row r="51" spans="1:19" x14ac:dyDescent="0.35">
      <c r="A51">
        <v>50</v>
      </c>
      <c r="B51">
        <v>1003</v>
      </c>
      <c r="C51">
        <v>4000</v>
      </c>
      <c r="D51">
        <v>4000</v>
      </c>
      <c r="E51">
        <v>3000</v>
      </c>
      <c r="F51" t="s">
        <v>158</v>
      </c>
      <c r="G51" t="s">
        <v>184</v>
      </c>
      <c r="H51" t="s">
        <v>2</v>
      </c>
      <c r="I51" t="s">
        <v>2</v>
      </c>
      <c r="J51" t="s">
        <v>722</v>
      </c>
      <c r="K51">
        <v>4</v>
      </c>
      <c r="L51">
        <v>2</v>
      </c>
      <c r="M51">
        <v>4</v>
      </c>
      <c r="N51" s="36">
        <v>45042.63089695602</v>
      </c>
      <c r="O51" s="36">
        <v>45042.630916377311</v>
      </c>
      <c r="P51" t="s">
        <v>760</v>
      </c>
      <c r="Q51">
        <v>1</v>
      </c>
      <c r="R51" t="s">
        <v>724</v>
      </c>
      <c r="S51">
        <v>1713812909422</v>
      </c>
    </row>
    <row r="52" spans="1:19" x14ac:dyDescent="0.35">
      <c r="A52">
        <v>51</v>
      </c>
      <c r="B52">
        <v>1003</v>
      </c>
      <c r="C52">
        <v>5000</v>
      </c>
      <c r="D52">
        <v>5000</v>
      </c>
      <c r="E52">
        <v>3000</v>
      </c>
      <c r="F52" t="s">
        <v>158</v>
      </c>
      <c r="G52" t="s">
        <v>3</v>
      </c>
      <c r="H52" t="s">
        <v>78</v>
      </c>
      <c r="I52" t="s">
        <v>78</v>
      </c>
      <c r="J52" t="s">
        <v>722</v>
      </c>
      <c r="K52">
        <v>4</v>
      </c>
      <c r="L52">
        <v>2</v>
      </c>
      <c r="M52">
        <v>4</v>
      </c>
      <c r="N52" s="36">
        <v>45042.63089915509</v>
      </c>
      <c r="O52" s="36">
        <v>45042.630917418981</v>
      </c>
      <c r="P52" t="s">
        <v>760</v>
      </c>
      <c r="Q52">
        <v>1</v>
      </c>
      <c r="R52" t="s">
        <v>724</v>
      </c>
      <c r="S52">
        <v>1713812909422</v>
      </c>
    </row>
    <row r="53" spans="1:19" x14ac:dyDescent="0.35">
      <c r="A53">
        <v>52</v>
      </c>
      <c r="B53">
        <v>1003</v>
      </c>
      <c r="C53">
        <v>8000</v>
      </c>
      <c r="D53">
        <v>8000</v>
      </c>
      <c r="E53">
        <v>3000</v>
      </c>
      <c r="F53" t="s">
        <v>158</v>
      </c>
      <c r="G53" t="s">
        <v>167</v>
      </c>
      <c r="H53" t="s">
        <v>2</v>
      </c>
      <c r="I53" t="s">
        <v>2</v>
      </c>
      <c r="J53" t="s">
        <v>722</v>
      </c>
      <c r="K53">
        <v>4</v>
      </c>
      <c r="L53">
        <v>2</v>
      </c>
      <c r="M53">
        <v>4</v>
      </c>
      <c r="N53" s="36">
        <v>45042.630901099539</v>
      </c>
      <c r="O53" s="36">
        <v>45042.630918553237</v>
      </c>
      <c r="P53" t="s">
        <v>760</v>
      </c>
      <c r="Q53">
        <v>1</v>
      </c>
      <c r="R53" t="s">
        <v>724</v>
      </c>
      <c r="S53">
        <v>1713812909422</v>
      </c>
    </row>
    <row r="54" spans="1:19" x14ac:dyDescent="0.35">
      <c r="A54">
        <v>53</v>
      </c>
      <c r="B54">
        <v>1003</v>
      </c>
      <c r="C54">
        <v>9000</v>
      </c>
      <c r="D54">
        <v>9000</v>
      </c>
      <c r="E54">
        <v>3000</v>
      </c>
      <c r="F54" t="s">
        <v>158</v>
      </c>
      <c r="G54" t="s">
        <v>168</v>
      </c>
      <c r="H54" t="s">
        <v>12</v>
      </c>
      <c r="I54" t="s">
        <v>12</v>
      </c>
      <c r="J54" t="s">
        <v>722</v>
      </c>
      <c r="K54">
        <v>4</v>
      </c>
      <c r="L54">
        <v>4</v>
      </c>
      <c r="M54">
        <v>4</v>
      </c>
      <c r="N54" s="36">
        <v>45042.630903206016</v>
      </c>
      <c r="O54" s="36">
        <v>45042.630920069445</v>
      </c>
      <c r="P54" t="s">
        <v>760</v>
      </c>
      <c r="Q54">
        <v>1</v>
      </c>
      <c r="R54" t="s">
        <v>724</v>
      </c>
      <c r="S54">
        <v>1713812909422</v>
      </c>
    </row>
    <row r="55" spans="1:19" x14ac:dyDescent="0.35">
      <c r="A55">
        <v>54</v>
      </c>
      <c r="B55">
        <v>1003</v>
      </c>
      <c r="C55">
        <v>10000</v>
      </c>
      <c r="D55">
        <v>10001</v>
      </c>
      <c r="E55">
        <v>3000</v>
      </c>
      <c r="F55" t="s">
        <v>158</v>
      </c>
      <c r="G55" t="s">
        <v>169</v>
      </c>
      <c r="H55" t="s">
        <v>2</v>
      </c>
      <c r="I55" t="s">
        <v>2</v>
      </c>
      <c r="J55" t="s">
        <v>722</v>
      </c>
      <c r="K55">
        <v>4</v>
      </c>
      <c r="L55">
        <v>4</v>
      </c>
      <c r="M55">
        <v>4</v>
      </c>
      <c r="N55" s="36">
        <v>45042.630905335645</v>
      </c>
      <c r="O55" s="36">
        <v>45042.630921701391</v>
      </c>
      <c r="P55" t="s">
        <v>760</v>
      </c>
      <c r="Q55">
        <v>1</v>
      </c>
      <c r="R55" t="s">
        <v>724</v>
      </c>
      <c r="S55">
        <v>1713812909422</v>
      </c>
    </row>
    <row r="56" spans="1:19" x14ac:dyDescent="0.35">
      <c r="A56">
        <v>55</v>
      </c>
      <c r="B56">
        <v>1003</v>
      </c>
      <c r="C56">
        <v>11000</v>
      </c>
      <c r="D56">
        <v>11000</v>
      </c>
      <c r="E56">
        <v>3000</v>
      </c>
      <c r="F56" t="s">
        <v>158</v>
      </c>
      <c r="G56" t="s">
        <v>170</v>
      </c>
      <c r="H56" t="s">
        <v>2</v>
      </c>
      <c r="I56" t="s">
        <v>2</v>
      </c>
      <c r="J56" t="s">
        <v>722</v>
      </c>
      <c r="K56">
        <v>4</v>
      </c>
      <c r="L56">
        <v>4</v>
      </c>
      <c r="M56">
        <v>4</v>
      </c>
      <c r="N56" s="36">
        <v>45042.630908078703</v>
      </c>
      <c r="O56" s="36">
        <v>45042.630922928241</v>
      </c>
      <c r="P56" t="s">
        <v>760</v>
      </c>
      <c r="Q56">
        <v>1</v>
      </c>
      <c r="R56" t="s">
        <v>724</v>
      </c>
      <c r="S56">
        <v>1713812909422</v>
      </c>
    </row>
    <row r="57" spans="1:19" x14ac:dyDescent="0.35">
      <c r="A57">
        <v>56</v>
      </c>
      <c r="B57">
        <v>1003</v>
      </c>
      <c r="C57">
        <v>12000</v>
      </c>
      <c r="D57">
        <v>12000</v>
      </c>
      <c r="E57">
        <v>3000</v>
      </c>
      <c r="F57" t="s">
        <v>158</v>
      </c>
      <c r="G57" t="s">
        <v>16</v>
      </c>
      <c r="H57" t="s">
        <v>17</v>
      </c>
      <c r="I57" t="s">
        <v>17</v>
      </c>
      <c r="J57" t="s">
        <v>722</v>
      </c>
      <c r="K57">
        <v>4</v>
      </c>
      <c r="L57">
        <v>2</v>
      </c>
      <c r="M57">
        <v>4</v>
      </c>
      <c r="N57" s="36">
        <v>45042.630910185188</v>
      </c>
      <c r="O57" s="36">
        <v>45042.63092408565</v>
      </c>
      <c r="P57" t="s">
        <v>760</v>
      </c>
      <c r="Q57">
        <v>1</v>
      </c>
      <c r="R57" t="s">
        <v>724</v>
      </c>
      <c r="S57">
        <v>1713812909422</v>
      </c>
    </row>
    <row r="58" spans="1:19" x14ac:dyDescent="0.35">
      <c r="A58">
        <v>57</v>
      </c>
      <c r="B58">
        <v>1003</v>
      </c>
      <c r="C58">
        <v>13000</v>
      </c>
      <c r="D58">
        <v>13000</v>
      </c>
      <c r="E58">
        <v>3000</v>
      </c>
      <c r="F58" t="s">
        <v>158</v>
      </c>
      <c r="G58" t="s">
        <v>21</v>
      </c>
      <c r="H58" t="s">
        <v>22</v>
      </c>
      <c r="I58" t="s">
        <v>22</v>
      </c>
      <c r="J58" t="s">
        <v>722</v>
      </c>
      <c r="K58">
        <v>4</v>
      </c>
      <c r="L58">
        <v>2</v>
      </c>
      <c r="M58">
        <v>4</v>
      </c>
      <c r="N58" s="36">
        <v>45042.630912083332</v>
      </c>
      <c r="O58" s="36">
        <v>45042.630925162041</v>
      </c>
      <c r="P58" t="s">
        <v>760</v>
      </c>
      <c r="Q58">
        <v>1</v>
      </c>
      <c r="R58" t="s">
        <v>724</v>
      </c>
      <c r="S58">
        <v>1713812909422</v>
      </c>
    </row>
    <row r="59" spans="1:19" x14ac:dyDescent="0.35">
      <c r="A59">
        <v>58</v>
      </c>
      <c r="B59">
        <v>1003</v>
      </c>
      <c r="C59">
        <v>14000</v>
      </c>
      <c r="D59">
        <v>14000</v>
      </c>
      <c r="E59">
        <v>3000</v>
      </c>
      <c r="F59" t="s">
        <v>158</v>
      </c>
      <c r="G59" t="s">
        <v>54</v>
      </c>
      <c r="H59" t="s">
        <v>23</v>
      </c>
      <c r="I59" t="s">
        <v>23</v>
      </c>
      <c r="J59" t="s">
        <v>722</v>
      </c>
      <c r="K59">
        <v>4</v>
      </c>
      <c r="L59">
        <v>2</v>
      </c>
      <c r="M59">
        <v>4</v>
      </c>
      <c r="N59" s="36">
        <v>45042.630914421294</v>
      </c>
      <c r="O59" s="36">
        <v>45042.630926435188</v>
      </c>
      <c r="P59" t="s">
        <v>760</v>
      </c>
      <c r="Q59">
        <v>1</v>
      </c>
      <c r="R59" t="s">
        <v>724</v>
      </c>
      <c r="S59">
        <v>1713812909422</v>
      </c>
    </row>
    <row r="60" spans="1:19" x14ac:dyDescent="0.35">
      <c r="A60">
        <v>59</v>
      </c>
      <c r="B60">
        <v>1000</v>
      </c>
      <c r="C60">
        <v>6000</v>
      </c>
      <c r="D60">
        <v>6001</v>
      </c>
      <c r="E60">
        <v>2000</v>
      </c>
      <c r="F60" t="s">
        <v>158</v>
      </c>
      <c r="G60" t="s">
        <v>165</v>
      </c>
      <c r="H60" t="s">
        <v>240</v>
      </c>
      <c r="I60" t="s">
        <v>733</v>
      </c>
      <c r="J60" t="s">
        <v>730</v>
      </c>
      <c r="K60">
        <v>3</v>
      </c>
      <c r="L60">
        <v>5</v>
      </c>
      <c r="M60">
        <v>5</v>
      </c>
      <c r="N60" s="36">
        <v>45404.630932812499</v>
      </c>
      <c r="O60" s="36">
        <v>45405.735628657407</v>
      </c>
      <c r="P60" t="s">
        <v>731</v>
      </c>
      <c r="Q60">
        <v>0</v>
      </c>
      <c r="R60" t="s">
        <v>724</v>
      </c>
      <c r="S60">
        <v>0</v>
      </c>
    </row>
    <row r="61" spans="1:19" x14ac:dyDescent="0.35">
      <c r="A61">
        <v>60</v>
      </c>
      <c r="B61">
        <v>1001</v>
      </c>
      <c r="C61">
        <v>6000</v>
      </c>
      <c r="D61">
        <v>6000</v>
      </c>
      <c r="E61">
        <v>2000</v>
      </c>
      <c r="F61" t="s">
        <v>158</v>
      </c>
      <c r="G61" t="s">
        <v>165</v>
      </c>
      <c r="H61" t="s">
        <v>239</v>
      </c>
      <c r="I61" t="s">
        <v>734</v>
      </c>
      <c r="J61" t="s">
        <v>730</v>
      </c>
      <c r="K61">
        <v>5</v>
      </c>
      <c r="L61">
        <v>5</v>
      </c>
      <c r="M61">
        <v>5</v>
      </c>
      <c r="N61" s="36">
        <v>45404.630936747686</v>
      </c>
      <c r="O61" s="36">
        <v>45405.735634340279</v>
      </c>
      <c r="P61" t="s">
        <v>731</v>
      </c>
      <c r="Q61">
        <v>0</v>
      </c>
      <c r="R61" t="s">
        <v>724</v>
      </c>
      <c r="S61">
        <v>0</v>
      </c>
    </row>
    <row r="62" spans="1:19" x14ac:dyDescent="0.35">
      <c r="A62">
        <v>61</v>
      </c>
      <c r="B62">
        <v>1003</v>
      </c>
      <c r="C62">
        <v>6000</v>
      </c>
      <c r="D62">
        <v>6001</v>
      </c>
      <c r="E62">
        <v>2000</v>
      </c>
      <c r="F62" t="s">
        <v>158</v>
      </c>
      <c r="G62" t="s">
        <v>165</v>
      </c>
      <c r="H62" t="s">
        <v>240</v>
      </c>
      <c r="I62" t="s">
        <v>729</v>
      </c>
      <c r="J62" t="s">
        <v>730</v>
      </c>
      <c r="K62">
        <v>3</v>
      </c>
      <c r="L62">
        <v>5</v>
      </c>
      <c r="M62">
        <v>5</v>
      </c>
      <c r="N62" s="36">
        <v>45404.630940509262</v>
      </c>
      <c r="O62" s="36">
        <v>45405.735639050923</v>
      </c>
      <c r="P62" t="s">
        <v>731</v>
      </c>
      <c r="Q62">
        <v>0</v>
      </c>
      <c r="R62" t="s">
        <v>724</v>
      </c>
      <c r="S62">
        <v>0</v>
      </c>
    </row>
    <row r="63" spans="1:19" x14ac:dyDescent="0.35">
      <c r="A63">
        <v>62</v>
      </c>
      <c r="B63">
        <v>1000</v>
      </c>
      <c r="C63">
        <v>15000</v>
      </c>
      <c r="D63">
        <v>15001</v>
      </c>
      <c r="E63">
        <v>2000</v>
      </c>
      <c r="F63" t="s">
        <v>158</v>
      </c>
      <c r="G63" t="s">
        <v>55</v>
      </c>
      <c r="H63" t="s">
        <v>246</v>
      </c>
      <c r="I63" t="s">
        <v>736</v>
      </c>
      <c r="J63" t="s">
        <v>730</v>
      </c>
      <c r="K63">
        <v>2</v>
      </c>
      <c r="L63">
        <v>3</v>
      </c>
      <c r="M63">
        <v>3</v>
      </c>
      <c r="N63" s="36">
        <v>45404.630945439814</v>
      </c>
      <c r="O63" s="36">
        <v>45405.735645578701</v>
      </c>
      <c r="P63" t="s">
        <v>731</v>
      </c>
      <c r="Q63">
        <v>0</v>
      </c>
      <c r="R63" t="s">
        <v>724</v>
      </c>
      <c r="S63">
        <v>0</v>
      </c>
    </row>
    <row r="64" spans="1:19" x14ac:dyDescent="0.35">
      <c r="A64">
        <v>63</v>
      </c>
      <c r="B64">
        <v>1001</v>
      </c>
      <c r="C64">
        <v>15000</v>
      </c>
      <c r="D64">
        <v>15000</v>
      </c>
      <c r="E64">
        <v>2000</v>
      </c>
      <c r="F64" t="s">
        <v>158</v>
      </c>
      <c r="G64" t="s">
        <v>55</v>
      </c>
      <c r="H64" t="s">
        <v>247</v>
      </c>
      <c r="I64" t="s">
        <v>737</v>
      </c>
      <c r="J64" t="s">
        <v>730</v>
      </c>
      <c r="K64">
        <v>3</v>
      </c>
      <c r="L64">
        <v>3</v>
      </c>
      <c r="M64">
        <v>3</v>
      </c>
      <c r="N64" s="36">
        <v>45404.630949988423</v>
      </c>
      <c r="O64" s="36">
        <v>45405.73565023148</v>
      </c>
      <c r="P64" t="s">
        <v>731</v>
      </c>
      <c r="Q64">
        <v>0</v>
      </c>
      <c r="R64" t="s">
        <v>724</v>
      </c>
      <c r="S64">
        <v>0</v>
      </c>
    </row>
    <row r="65" spans="1:19" x14ac:dyDescent="0.35">
      <c r="A65">
        <v>64</v>
      </c>
      <c r="B65">
        <v>1003</v>
      </c>
      <c r="C65">
        <v>15000</v>
      </c>
      <c r="D65">
        <v>15002</v>
      </c>
      <c r="E65">
        <v>2000</v>
      </c>
      <c r="F65" t="s">
        <v>158</v>
      </c>
      <c r="G65" t="s">
        <v>55</v>
      </c>
      <c r="H65" t="s">
        <v>248</v>
      </c>
      <c r="I65" t="s">
        <v>735</v>
      </c>
      <c r="J65" t="s">
        <v>730</v>
      </c>
      <c r="K65">
        <v>1</v>
      </c>
      <c r="L65">
        <v>3</v>
      </c>
      <c r="M65">
        <v>3</v>
      </c>
      <c r="N65" s="36">
        <v>45404.630954062501</v>
      </c>
      <c r="O65" s="36">
        <v>45405.735655150464</v>
      </c>
      <c r="P65" t="s">
        <v>731</v>
      </c>
      <c r="Q65">
        <v>0</v>
      </c>
      <c r="R65" t="s">
        <v>724</v>
      </c>
      <c r="S65">
        <v>0</v>
      </c>
    </row>
    <row r="66" spans="1:19" x14ac:dyDescent="0.35">
      <c r="A66">
        <v>65</v>
      </c>
      <c r="B66">
        <v>1000</v>
      </c>
      <c r="C66">
        <v>1000</v>
      </c>
      <c r="D66">
        <v>1000</v>
      </c>
      <c r="E66">
        <v>2000</v>
      </c>
      <c r="F66" t="s">
        <v>158</v>
      </c>
      <c r="G66" t="s">
        <v>163</v>
      </c>
      <c r="H66" t="s">
        <v>179</v>
      </c>
      <c r="I66" t="s">
        <v>761</v>
      </c>
      <c r="J66" t="s">
        <v>730</v>
      </c>
      <c r="K66">
        <v>2</v>
      </c>
      <c r="L66">
        <v>2</v>
      </c>
      <c r="M66">
        <v>3</v>
      </c>
      <c r="N66" s="36">
        <v>45404.630959826391</v>
      </c>
      <c r="O66" s="36">
        <v>45405.735660833336</v>
      </c>
      <c r="P66" t="s">
        <v>731</v>
      </c>
      <c r="Q66">
        <v>0</v>
      </c>
      <c r="R66" t="s">
        <v>724</v>
      </c>
      <c r="S66">
        <v>0</v>
      </c>
    </row>
    <row r="67" spans="1:19" x14ac:dyDescent="0.35">
      <c r="A67">
        <v>66</v>
      </c>
      <c r="B67">
        <v>1001</v>
      </c>
      <c r="C67">
        <v>1000</v>
      </c>
      <c r="D67">
        <v>1001</v>
      </c>
      <c r="E67">
        <v>2000</v>
      </c>
      <c r="F67" t="s">
        <v>158</v>
      </c>
      <c r="G67" t="s">
        <v>163</v>
      </c>
      <c r="H67" t="s">
        <v>180</v>
      </c>
      <c r="I67" t="s">
        <v>762</v>
      </c>
      <c r="J67" t="s">
        <v>730</v>
      </c>
      <c r="K67">
        <v>3</v>
      </c>
      <c r="L67">
        <v>2</v>
      </c>
      <c r="M67">
        <v>3</v>
      </c>
      <c r="N67" s="36">
        <v>45404.630963240743</v>
      </c>
      <c r="O67" s="36">
        <v>45405.735664571759</v>
      </c>
      <c r="P67" t="s">
        <v>731</v>
      </c>
      <c r="Q67">
        <v>0</v>
      </c>
      <c r="R67" t="s">
        <v>724</v>
      </c>
      <c r="S67">
        <v>0</v>
      </c>
    </row>
    <row r="68" spans="1:19" x14ac:dyDescent="0.35">
      <c r="A68">
        <v>67</v>
      </c>
      <c r="B68">
        <v>1003</v>
      </c>
      <c r="C68">
        <v>1000</v>
      </c>
      <c r="D68">
        <v>1002</v>
      </c>
      <c r="E68">
        <v>2000</v>
      </c>
      <c r="F68" t="s">
        <v>158</v>
      </c>
      <c r="G68" t="s">
        <v>163</v>
      </c>
      <c r="H68" t="s">
        <v>718</v>
      </c>
      <c r="I68" t="s">
        <v>763</v>
      </c>
      <c r="J68" t="s">
        <v>730</v>
      </c>
      <c r="K68">
        <v>2</v>
      </c>
      <c r="L68">
        <v>2</v>
      </c>
      <c r="M68">
        <v>3</v>
      </c>
      <c r="N68" s="36">
        <v>45404.630967025463</v>
      </c>
      <c r="O68" s="36">
        <v>45405.73566820602</v>
      </c>
      <c r="P68" t="s">
        <v>731</v>
      </c>
      <c r="Q68">
        <v>0</v>
      </c>
      <c r="R68" t="s">
        <v>724</v>
      </c>
      <c r="S68">
        <v>0</v>
      </c>
    </row>
    <row r="69" spans="1:19" x14ac:dyDescent="0.35">
      <c r="A69">
        <v>68</v>
      </c>
      <c r="B69">
        <v>1000</v>
      </c>
      <c r="C69">
        <v>3000</v>
      </c>
      <c r="D69">
        <v>3003</v>
      </c>
      <c r="E69">
        <v>2000</v>
      </c>
      <c r="F69" t="s">
        <v>158</v>
      </c>
      <c r="G69" t="s">
        <v>164</v>
      </c>
      <c r="H69" t="s">
        <v>234</v>
      </c>
      <c r="I69" t="s">
        <v>742</v>
      </c>
      <c r="J69" t="s">
        <v>730</v>
      </c>
      <c r="K69">
        <v>1</v>
      </c>
      <c r="L69">
        <v>1</v>
      </c>
      <c r="M69">
        <v>4</v>
      </c>
      <c r="N69" s="36">
        <v>45404.630973298612</v>
      </c>
      <c r="O69" s="36">
        <v>45405.735673877316</v>
      </c>
      <c r="P69" t="s">
        <v>731</v>
      </c>
      <c r="Q69">
        <v>0</v>
      </c>
      <c r="R69" t="s">
        <v>724</v>
      </c>
      <c r="S69">
        <v>0</v>
      </c>
    </row>
    <row r="70" spans="1:19" x14ac:dyDescent="0.35">
      <c r="A70">
        <v>69</v>
      </c>
      <c r="B70">
        <v>1001</v>
      </c>
      <c r="C70">
        <v>3000</v>
      </c>
      <c r="D70">
        <v>3001</v>
      </c>
      <c r="E70">
        <v>2000</v>
      </c>
      <c r="F70" t="s">
        <v>158</v>
      </c>
      <c r="G70" t="s">
        <v>164</v>
      </c>
      <c r="H70" t="s">
        <v>232</v>
      </c>
      <c r="I70" t="s">
        <v>743</v>
      </c>
      <c r="J70" t="s">
        <v>730</v>
      </c>
      <c r="K70">
        <v>3</v>
      </c>
      <c r="L70">
        <v>1</v>
      </c>
      <c r="M70">
        <v>4</v>
      </c>
      <c r="N70" s="36">
        <v>45404.63097716435</v>
      </c>
      <c r="O70" s="36">
        <v>45405.735678634257</v>
      </c>
      <c r="P70" t="s">
        <v>731</v>
      </c>
      <c r="Q70">
        <v>0</v>
      </c>
      <c r="R70" t="s">
        <v>724</v>
      </c>
      <c r="S70">
        <v>0</v>
      </c>
    </row>
    <row r="71" spans="1:19" x14ac:dyDescent="0.35">
      <c r="A71">
        <v>70</v>
      </c>
      <c r="B71">
        <v>1003</v>
      </c>
      <c r="C71">
        <v>3000</v>
      </c>
      <c r="D71">
        <v>3002</v>
      </c>
      <c r="E71">
        <v>2000</v>
      </c>
      <c r="F71" t="s">
        <v>158</v>
      </c>
      <c r="G71" t="s">
        <v>164</v>
      </c>
      <c r="H71" t="s">
        <v>233</v>
      </c>
      <c r="I71" t="s">
        <v>741</v>
      </c>
      <c r="J71" t="s">
        <v>730</v>
      </c>
      <c r="K71">
        <v>2</v>
      </c>
      <c r="L71">
        <v>1</v>
      </c>
      <c r="M71">
        <v>4</v>
      </c>
      <c r="N71" s="36">
        <v>45404.63098144676</v>
      </c>
      <c r="O71" s="36">
        <v>45405.735684155094</v>
      </c>
      <c r="P71" t="s">
        <v>731</v>
      </c>
      <c r="Q71">
        <v>0</v>
      </c>
      <c r="R71" t="s">
        <v>724</v>
      </c>
      <c r="S71">
        <v>0</v>
      </c>
    </row>
    <row r="72" spans="1:19" x14ac:dyDescent="0.35">
      <c r="A72">
        <v>71</v>
      </c>
      <c r="B72">
        <v>1000</v>
      </c>
      <c r="C72">
        <v>7000</v>
      </c>
      <c r="D72">
        <v>7001</v>
      </c>
      <c r="E72">
        <v>2000</v>
      </c>
      <c r="F72" t="s">
        <v>158</v>
      </c>
      <c r="G72" t="s">
        <v>166</v>
      </c>
      <c r="H72" t="s">
        <v>243</v>
      </c>
      <c r="I72" t="s">
        <v>745</v>
      </c>
      <c r="J72" t="s">
        <v>730</v>
      </c>
      <c r="K72">
        <v>2</v>
      </c>
      <c r="L72">
        <v>2</v>
      </c>
      <c r="M72">
        <v>4</v>
      </c>
      <c r="N72" s="36">
        <v>45404.630986620374</v>
      </c>
      <c r="O72" s="36">
        <v>45405.735689270834</v>
      </c>
      <c r="P72" t="s">
        <v>731</v>
      </c>
      <c r="Q72">
        <v>0</v>
      </c>
      <c r="R72" t="s">
        <v>724</v>
      </c>
      <c r="S72">
        <v>0</v>
      </c>
    </row>
    <row r="73" spans="1:19" x14ac:dyDescent="0.35">
      <c r="A73">
        <v>72</v>
      </c>
      <c r="B73">
        <v>1001</v>
      </c>
      <c r="C73">
        <v>7000</v>
      </c>
      <c r="D73">
        <v>7002</v>
      </c>
      <c r="E73">
        <v>2000</v>
      </c>
      <c r="F73" t="s">
        <v>158</v>
      </c>
      <c r="G73" t="s">
        <v>166</v>
      </c>
      <c r="H73" t="s">
        <v>249</v>
      </c>
      <c r="I73" t="s">
        <v>729</v>
      </c>
      <c r="J73" t="s">
        <v>730</v>
      </c>
      <c r="K73">
        <v>0</v>
      </c>
      <c r="L73">
        <v>2</v>
      </c>
      <c r="M73">
        <v>4</v>
      </c>
      <c r="N73" s="36">
        <v>45404.630990497688</v>
      </c>
      <c r="O73" s="36">
        <v>45405.735693726849</v>
      </c>
      <c r="P73" t="s">
        <v>731</v>
      </c>
      <c r="Q73">
        <v>0</v>
      </c>
      <c r="R73" t="s">
        <v>724</v>
      </c>
      <c r="S73">
        <v>0</v>
      </c>
    </row>
    <row r="74" spans="1:19" x14ac:dyDescent="0.35">
      <c r="A74">
        <v>73</v>
      </c>
      <c r="B74">
        <v>1003</v>
      </c>
      <c r="C74">
        <v>7000</v>
      </c>
      <c r="D74">
        <v>7001</v>
      </c>
      <c r="E74">
        <v>2000</v>
      </c>
      <c r="F74" t="s">
        <v>158</v>
      </c>
      <c r="G74" t="s">
        <v>166</v>
      </c>
      <c r="H74" t="s">
        <v>243</v>
      </c>
      <c r="I74" t="s">
        <v>744</v>
      </c>
      <c r="J74" t="s">
        <v>730</v>
      </c>
      <c r="K74">
        <v>2</v>
      </c>
      <c r="L74">
        <v>2</v>
      </c>
      <c r="M74">
        <v>4</v>
      </c>
      <c r="N74" s="36">
        <v>45404.630995405096</v>
      </c>
      <c r="O74" s="36">
        <v>45405.735697476855</v>
      </c>
      <c r="P74" t="s">
        <v>731</v>
      </c>
      <c r="Q74">
        <v>0</v>
      </c>
      <c r="R74" t="s">
        <v>724</v>
      </c>
      <c r="S74">
        <v>0</v>
      </c>
    </row>
    <row r="75" spans="1:19" x14ac:dyDescent="0.35">
      <c r="A75">
        <v>74</v>
      </c>
      <c r="B75">
        <v>1000</v>
      </c>
      <c r="C75">
        <v>2000</v>
      </c>
      <c r="D75">
        <v>2000</v>
      </c>
      <c r="E75">
        <v>2000</v>
      </c>
      <c r="F75" t="s">
        <v>158</v>
      </c>
      <c r="G75" t="s">
        <v>193</v>
      </c>
      <c r="H75" t="s">
        <v>48</v>
      </c>
      <c r="I75" t="s">
        <v>764</v>
      </c>
      <c r="J75" t="s">
        <v>730</v>
      </c>
      <c r="K75">
        <v>4</v>
      </c>
      <c r="L75">
        <v>2</v>
      </c>
      <c r="M75">
        <v>4</v>
      </c>
      <c r="N75" s="36">
        <v>45404.631001203707</v>
      </c>
      <c r="O75" s="36">
        <v>45405.735703622682</v>
      </c>
      <c r="P75" t="s">
        <v>731</v>
      </c>
      <c r="Q75">
        <v>0</v>
      </c>
      <c r="R75" t="s">
        <v>724</v>
      </c>
      <c r="S75">
        <v>0</v>
      </c>
    </row>
    <row r="76" spans="1:19" x14ac:dyDescent="0.35">
      <c r="A76">
        <v>75</v>
      </c>
      <c r="B76">
        <v>1001</v>
      </c>
      <c r="C76">
        <v>2000</v>
      </c>
      <c r="D76">
        <v>2000</v>
      </c>
      <c r="E76">
        <v>2000</v>
      </c>
      <c r="F76" t="s">
        <v>158</v>
      </c>
      <c r="G76" t="s">
        <v>193</v>
      </c>
      <c r="H76" t="s">
        <v>48</v>
      </c>
      <c r="I76" t="s">
        <v>765</v>
      </c>
      <c r="J76" t="s">
        <v>730</v>
      </c>
      <c r="K76">
        <v>4</v>
      </c>
      <c r="L76">
        <v>2</v>
      </c>
      <c r="M76">
        <v>4</v>
      </c>
      <c r="N76" s="36">
        <v>45404.631006180556</v>
      </c>
      <c r="O76" s="36">
        <v>45405.735707500004</v>
      </c>
      <c r="P76" t="s">
        <v>731</v>
      </c>
      <c r="Q76">
        <v>0</v>
      </c>
      <c r="R76" t="s">
        <v>724</v>
      </c>
      <c r="S76">
        <v>0</v>
      </c>
    </row>
    <row r="77" spans="1:19" x14ac:dyDescent="0.35">
      <c r="A77">
        <v>76</v>
      </c>
      <c r="B77">
        <v>1003</v>
      </c>
      <c r="C77">
        <v>2000</v>
      </c>
      <c r="D77">
        <v>2002</v>
      </c>
      <c r="E77">
        <v>2000</v>
      </c>
      <c r="F77" t="s">
        <v>158</v>
      </c>
      <c r="G77" t="s">
        <v>193</v>
      </c>
      <c r="H77" t="s">
        <v>191</v>
      </c>
      <c r="I77" t="s">
        <v>766</v>
      </c>
      <c r="J77" t="s">
        <v>730</v>
      </c>
      <c r="K77">
        <v>2</v>
      </c>
      <c r="L77">
        <v>2</v>
      </c>
      <c r="M77">
        <v>4</v>
      </c>
      <c r="N77" s="36">
        <v>45404.631009930556</v>
      </c>
      <c r="O77" s="36">
        <v>45405.735711145833</v>
      </c>
      <c r="P77" t="s">
        <v>731</v>
      </c>
      <c r="Q77">
        <v>0</v>
      </c>
      <c r="R77" t="s">
        <v>724</v>
      </c>
      <c r="S77">
        <v>0</v>
      </c>
    </row>
    <row r="78" spans="1:19" x14ac:dyDescent="0.35">
      <c r="A78">
        <v>77</v>
      </c>
      <c r="B78">
        <v>1000</v>
      </c>
      <c r="C78">
        <v>16000</v>
      </c>
      <c r="D78">
        <v>16000</v>
      </c>
      <c r="E78">
        <v>2000</v>
      </c>
      <c r="F78" t="s">
        <v>158</v>
      </c>
      <c r="G78" t="s">
        <v>56</v>
      </c>
      <c r="H78" t="s">
        <v>41</v>
      </c>
      <c r="I78" t="s">
        <v>749</v>
      </c>
      <c r="J78" t="s">
        <v>730</v>
      </c>
      <c r="K78">
        <v>5</v>
      </c>
      <c r="L78">
        <v>4</v>
      </c>
      <c r="M78">
        <v>5</v>
      </c>
      <c r="N78" s="36">
        <v>45404.63101582176</v>
      </c>
      <c r="O78" s="36">
        <v>45405.735715925926</v>
      </c>
      <c r="P78" t="s">
        <v>731</v>
      </c>
      <c r="Q78">
        <v>0</v>
      </c>
      <c r="R78" t="s">
        <v>724</v>
      </c>
      <c r="S78">
        <v>0</v>
      </c>
    </row>
    <row r="79" spans="1:19" x14ac:dyDescent="0.35">
      <c r="A79">
        <v>78</v>
      </c>
      <c r="B79">
        <v>1001</v>
      </c>
      <c r="C79">
        <v>16000</v>
      </c>
      <c r="D79">
        <v>16001</v>
      </c>
      <c r="E79">
        <v>2000</v>
      </c>
      <c r="F79" t="s">
        <v>158</v>
      </c>
      <c r="G79" t="s">
        <v>56</v>
      </c>
      <c r="H79" t="s">
        <v>203</v>
      </c>
      <c r="I79" t="s">
        <v>742</v>
      </c>
      <c r="J79" t="s">
        <v>730</v>
      </c>
      <c r="K79">
        <v>4</v>
      </c>
      <c r="L79">
        <v>4</v>
      </c>
      <c r="M79">
        <v>5</v>
      </c>
      <c r="N79" s="36">
        <v>45404.631019432869</v>
      </c>
      <c r="O79" s="36">
        <v>45405.735719687502</v>
      </c>
      <c r="P79" t="s">
        <v>731</v>
      </c>
      <c r="Q79">
        <v>0</v>
      </c>
      <c r="R79" t="s">
        <v>724</v>
      </c>
      <c r="S79">
        <v>0</v>
      </c>
    </row>
    <row r="80" spans="1:19" x14ac:dyDescent="0.35">
      <c r="A80">
        <v>79</v>
      </c>
      <c r="B80">
        <v>1003</v>
      </c>
      <c r="C80">
        <v>16000</v>
      </c>
      <c r="D80">
        <v>16001</v>
      </c>
      <c r="E80">
        <v>2000</v>
      </c>
      <c r="F80" t="s">
        <v>158</v>
      </c>
      <c r="G80" t="s">
        <v>56</v>
      </c>
      <c r="H80" t="s">
        <v>203</v>
      </c>
      <c r="I80" t="s">
        <v>743</v>
      </c>
      <c r="J80" t="s">
        <v>730</v>
      </c>
      <c r="K80">
        <v>4</v>
      </c>
      <c r="L80">
        <v>4</v>
      </c>
      <c r="M80">
        <v>5</v>
      </c>
      <c r="N80" s="36">
        <v>45404.631024270835</v>
      </c>
      <c r="O80" s="36">
        <v>45405.735723634258</v>
      </c>
      <c r="P80" t="s">
        <v>731</v>
      </c>
      <c r="Q80">
        <v>0</v>
      </c>
      <c r="R80" t="s">
        <v>724</v>
      </c>
      <c r="S80">
        <v>0</v>
      </c>
    </row>
    <row r="81" spans="1:19" x14ac:dyDescent="0.35">
      <c r="A81">
        <v>80</v>
      </c>
      <c r="B81">
        <v>1000</v>
      </c>
      <c r="C81">
        <v>17000</v>
      </c>
      <c r="D81">
        <v>17000</v>
      </c>
      <c r="E81">
        <v>2000</v>
      </c>
      <c r="F81" t="s">
        <v>158</v>
      </c>
      <c r="G81" t="s">
        <v>57</v>
      </c>
      <c r="H81" t="s">
        <v>41</v>
      </c>
      <c r="I81" t="s">
        <v>767</v>
      </c>
      <c r="J81" t="s">
        <v>753</v>
      </c>
      <c r="K81">
        <v>5</v>
      </c>
      <c r="L81">
        <v>2</v>
      </c>
      <c r="M81">
        <v>5</v>
      </c>
      <c r="N81" s="36">
        <v>45404.631030046294</v>
      </c>
      <c r="O81" s="36">
        <v>45405.735728240739</v>
      </c>
      <c r="P81" t="s">
        <v>731</v>
      </c>
      <c r="Q81">
        <v>0</v>
      </c>
      <c r="R81" t="s">
        <v>724</v>
      </c>
      <c r="S81">
        <v>0</v>
      </c>
    </row>
    <row r="82" spans="1:19" x14ac:dyDescent="0.35">
      <c r="A82">
        <v>81</v>
      </c>
      <c r="B82">
        <v>1001</v>
      </c>
      <c r="C82">
        <v>17000</v>
      </c>
      <c r="D82">
        <v>17002</v>
      </c>
      <c r="E82">
        <v>2000</v>
      </c>
      <c r="F82" t="s">
        <v>158</v>
      </c>
      <c r="G82" t="s">
        <v>57</v>
      </c>
      <c r="H82" t="s">
        <v>98</v>
      </c>
      <c r="I82" t="s">
        <v>768</v>
      </c>
      <c r="J82" t="s">
        <v>753</v>
      </c>
      <c r="K82">
        <v>3</v>
      </c>
      <c r="L82">
        <v>2</v>
      </c>
      <c r="M82">
        <v>5</v>
      </c>
      <c r="N82" s="36">
        <v>45404.631035405095</v>
      </c>
      <c r="O82" s="36">
        <v>45405.735732152774</v>
      </c>
      <c r="P82" t="s">
        <v>731</v>
      </c>
      <c r="Q82">
        <v>0</v>
      </c>
      <c r="R82" t="s">
        <v>724</v>
      </c>
      <c r="S82">
        <v>0</v>
      </c>
    </row>
    <row r="83" spans="1:19" x14ac:dyDescent="0.35">
      <c r="A83">
        <v>82</v>
      </c>
      <c r="B83">
        <v>1003</v>
      </c>
      <c r="C83">
        <v>17000</v>
      </c>
      <c r="D83">
        <v>17003</v>
      </c>
      <c r="E83">
        <v>2000</v>
      </c>
      <c r="F83" t="s">
        <v>158</v>
      </c>
      <c r="G83" t="s">
        <v>57</v>
      </c>
      <c r="H83" t="s">
        <v>99</v>
      </c>
      <c r="I83" t="s">
        <v>769</v>
      </c>
      <c r="J83" t="s">
        <v>753</v>
      </c>
      <c r="K83">
        <v>2</v>
      </c>
      <c r="L83">
        <v>2</v>
      </c>
      <c r="M83">
        <v>5</v>
      </c>
      <c r="N83" s="36">
        <v>45404.631040914355</v>
      </c>
      <c r="O83" s="36">
        <v>45405.735735787035</v>
      </c>
      <c r="P83" t="s">
        <v>731</v>
      </c>
      <c r="Q83">
        <v>0</v>
      </c>
      <c r="R83" t="s">
        <v>724</v>
      </c>
      <c r="S83">
        <v>0</v>
      </c>
    </row>
    <row r="84" spans="1:19" x14ac:dyDescent="0.35">
      <c r="A84">
        <v>83</v>
      </c>
      <c r="B84">
        <v>1000</v>
      </c>
      <c r="C84">
        <v>18000</v>
      </c>
      <c r="D84">
        <v>18006</v>
      </c>
      <c r="E84">
        <v>2000</v>
      </c>
      <c r="F84" t="s">
        <v>158</v>
      </c>
      <c r="G84" t="s">
        <v>58</v>
      </c>
      <c r="H84" t="s">
        <v>267</v>
      </c>
      <c r="I84" t="s">
        <v>770</v>
      </c>
      <c r="J84" t="s">
        <v>757</v>
      </c>
      <c r="K84">
        <v>3</v>
      </c>
      <c r="L84">
        <v>3</v>
      </c>
      <c r="M84">
        <v>5</v>
      </c>
      <c r="N84" s="36">
        <v>45404.631049062496</v>
      </c>
      <c r="O84" s="36">
        <v>45405.735739930555</v>
      </c>
      <c r="P84" t="s">
        <v>731</v>
      </c>
      <c r="Q84">
        <v>0</v>
      </c>
      <c r="R84" t="s">
        <v>724</v>
      </c>
      <c r="S84">
        <v>0</v>
      </c>
    </row>
    <row r="85" spans="1:19" x14ac:dyDescent="0.35">
      <c r="A85">
        <v>84</v>
      </c>
      <c r="B85">
        <v>1001</v>
      </c>
      <c r="C85">
        <v>18000</v>
      </c>
      <c r="D85">
        <v>18000</v>
      </c>
      <c r="E85">
        <v>2000</v>
      </c>
      <c r="F85" t="s">
        <v>158</v>
      </c>
      <c r="G85" t="s">
        <v>58</v>
      </c>
      <c r="H85" t="s">
        <v>41</v>
      </c>
      <c r="I85" t="s">
        <v>771</v>
      </c>
      <c r="J85" t="s">
        <v>757</v>
      </c>
      <c r="K85">
        <v>5</v>
      </c>
      <c r="L85">
        <v>3</v>
      </c>
      <c r="M85">
        <v>5</v>
      </c>
      <c r="N85" s="36">
        <v>45404.631052916666</v>
      </c>
      <c r="O85" s="36">
        <v>45405.735742997684</v>
      </c>
      <c r="P85" t="s">
        <v>731</v>
      </c>
      <c r="Q85">
        <v>0</v>
      </c>
      <c r="R85" t="s">
        <v>724</v>
      </c>
      <c r="S85">
        <v>0</v>
      </c>
    </row>
    <row r="86" spans="1:19" x14ac:dyDescent="0.35">
      <c r="A86">
        <v>85</v>
      </c>
      <c r="B86">
        <v>1003</v>
      </c>
      <c r="C86">
        <v>18000</v>
      </c>
      <c r="D86">
        <v>18000</v>
      </c>
      <c r="E86">
        <v>2000</v>
      </c>
      <c r="F86" t="s">
        <v>158</v>
      </c>
      <c r="G86" t="s">
        <v>58</v>
      </c>
      <c r="H86" t="s">
        <v>41</v>
      </c>
      <c r="I86" t="s">
        <v>772</v>
      </c>
      <c r="J86" t="s">
        <v>757</v>
      </c>
      <c r="K86">
        <v>5</v>
      </c>
      <c r="L86">
        <v>3</v>
      </c>
      <c r="M86">
        <v>5</v>
      </c>
      <c r="N86" s="36">
        <v>45404.631057430553</v>
      </c>
      <c r="O86" s="36">
        <v>45405.735746006947</v>
      </c>
      <c r="P86" t="s">
        <v>731</v>
      </c>
      <c r="Q86">
        <v>0</v>
      </c>
      <c r="R86" t="s">
        <v>724</v>
      </c>
      <c r="S86">
        <v>0</v>
      </c>
    </row>
    <row r="87" spans="1:19" x14ac:dyDescent="0.35">
      <c r="A87">
        <v>86</v>
      </c>
      <c r="B87">
        <v>1000</v>
      </c>
      <c r="C87">
        <v>4000</v>
      </c>
      <c r="D87">
        <v>4001</v>
      </c>
      <c r="E87">
        <v>3000</v>
      </c>
      <c r="F87" t="s">
        <v>158</v>
      </c>
      <c r="G87" t="s">
        <v>184</v>
      </c>
      <c r="H87" t="s">
        <v>75</v>
      </c>
      <c r="I87" t="s">
        <v>75</v>
      </c>
      <c r="J87" t="s">
        <v>722</v>
      </c>
      <c r="K87">
        <v>3</v>
      </c>
      <c r="L87">
        <v>2</v>
      </c>
      <c r="M87">
        <v>4</v>
      </c>
      <c r="N87" s="36">
        <v>45223.631073090277</v>
      </c>
      <c r="O87" s="36">
        <v>45223.631087974536</v>
      </c>
      <c r="P87" t="s">
        <v>773</v>
      </c>
      <c r="Q87">
        <v>1</v>
      </c>
      <c r="R87" t="s">
        <v>724</v>
      </c>
      <c r="S87">
        <v>1713812924634</v>
      </c>
    </row>
    <row r="88" spans="1:19" x14ac:dyDescent="0.35">
      <c r="A88">
        <v>87</v>
      </c>
      <c r="B88">
        <v>1000</v>
      </c>
      <c r="C88">
        <v>5000</v>
      </c>
      <c r="D88">
        <v>5001</v>
      </c>
      <c r="E88">
        <v>3000</v>
      </c>
      <c r="F88" t="s">
        <v>158</v>
      </c>
      <c r="G88" t="s">
        <v>3</v>
      </c>
      <c r="H88" t="s">
        <v>80</v>
      </c>
      <c r="I88" t="s">
        <v>80</v>
      </c>
      <c r="J88" t="s">
        <v>722</v>
      </c>
      <c r="K88">
        <v>3</v>
      </c>
      <c r="L88">
        <v>2</v>
      </c>
      <c r="M88">
        <v>4</v>
      </c>
      <c r="N88" s="36">
        <v>45223.631074456018</v>
      </c>
      <c r="O88" s="36">
        <v>45223.631089016206</v>
      </c>
      <c r="P88" t="s">
        <v>773</v>
      </c>
      <c r="Q88">
        <v>1</v>
      </c>
      <c r="R88" t="s">
        <v>724</v>
      </c>
      <c r="S88">
        <v>1713812924634</v>
      </c>
    </row>
    <row r="89" spans="1:19" x14ac:dyDescent="0.35">
      <c r="A89">
        <v>88</v>
      </c>
      <c r="B89">
        <v>1000</v>
      </c>
      <c r="C89">
        <v>8000</v>
      </c>
      <c r="D89">
        <v>8001</v>
      </c>
      <c r="E89">
        <v>3000</v>
      </c>
      <c r="F89" t="s">
        <v>158</v>
      </c>
      <c r="G89" t="s">
        <v>167</v>
      </c>
      <c r="H89" t="s">
        <v>9</v>
      </c>
      <c r="I89" t="s">
        <v>9</v>
      </c>
      <c r="J89" t="s">
        <v>722</v>
      </c>
      <c r="K89">
        <v>3</v>
      </c>
      <c r="L89">
        <v>2</v>
      </c>
      <c r="M89">
        <v>4</v>
      </c>
      <c r="N89" s="36">
        <v>45223.631076030091</v>
      </c>
      <c r="O89" s="36">
        <v>45223.631090497685</v>
      </c>
      <c r="P89" t="s">
        <v>773</v>
      </c>
      <c r="Q89">
        <v>1</v>
      </c>
      <c r="R89" t="s">
        <v>724</v>
      </c>
      <c r="S89">
        <v>1713812924634</v>
      </c>
    </row>
    <row r="90" spans="1:19" x14ac:dyDescent="0.35">
      <c r="A90">
        <v>89</v>
      </c>
      <c r="B90">
        <v>1000</v>
      </c>
      <c r="C90">
        <v>9000</v>
      </c>
      <c r="D90">
        <v>9001</v>
      </c>
      <c r="E90">
        <v>3000</v>
      </c>
      <c r="F90" t="s">
        <v>158</v>
      </c>
      <c r="G90" t="s">
        <v>168</v>
      </c>
      <c r="H90" t="s">
        <v>88</v>
      </c>
      <c r="I90" t="s">
        <v>88</v>
      </c>
      <c r="J90" t="s">
        <v>722</v>
      </c>
      <c r="K90">
        <v>3</v>
      </c>
      <c r="L90">
        <v>4</v>
      </c>
      <c r="M90">
        <v>4</v>
      </c>
      <c r="N90" s="36">
        <v>45223.631077627317</v>
      </c>
      <c r="O90" s="36">
        <v>45223.631092152777</v>
      </c>
      <c r="P90" t="s">
        <v>773</v>
      </c>
      <c r="Q90">
        <v>1</v>
      </c>
      <c r="R90" t="s">
        <v>724</v>
      </c>
      <c r="S90">
        <v>1713812924634</v>
      </c>
    </row>
    <row r="91" spans="1:19" x14ac:dyDescent="0.35">
      <c r="A91">
        <v>90</v>
      </c>
      <c r="B91">
        <v>1000</v>
      </c>
      <c r="C91">
        <v>10000</v>
      </c>
      <c r="D91">
        <v>10002</v>
      </c>
      <c r="E91">
        <v>3000</v>
      </c>
      <c r="F91" t="s">
        <v>158</v>
      </c>
      <c r="G91" t="s">
        <v>169</v>
      </c>
      <c r="H91" t="s">
        <v>9</v>
      </c>
      <c r="I91" t="s">
        <v>9</v>
      </c>
      <c r="J91" t="s">
        <v>722</v>
      </c>
      <c r="K91">
        <v>3</v>
      </c>
      <c r="L91">
        <v>4</v>
      </c>
      <c r="M91">
        <v>4</v>
      </c>
      <c r="N91" s="36">
        <v>45223.63107938657</v>
      </c>
      <c r="O91" s="36">
        <v>45223.631093263888</v>
      </c>
      <c r="P91" t="s">
        <v>773</v>
      </c>
      <c r="Q91">
        <v>1</v>
      </c>
      <c r="R91" t="s">
        <v>724</v>
      </c>
      <c r="S91">
        <v>1713812924634</v>
      </c>
    </row>
    <row r="92" spans="1:19" x14ac:dyDescent="0.35">
      <c r="A92">
        <v>91</v>
      </c>
      <c r="B92">
        <v>1000</v>
      </c>
      <c r="C92">
        <v>11000</v>
      </c>
      <c r="D92">
        <v>11001</v>
      </c>
      <c r="E92">
        <v>3000</v>
      </c>
      <c r="F92" t="s">
        <v>158</v>
      </c>
      <c r="G92" t="s">
        <v>170</v>
      </c>
      <c r="H92" t="s">
        <v>9</v>
      </c>
      <c r="I92" t="s">
        <v>9</v>
      </c>
      <c r="J92" t="s">
        <v>722</v>
      </c>
      <c r="K92">
        <v>3</v>
      </c>
      <c r="L92">
        <v>4</v>
      </c>
      <c r="M92">
        <v>4</v>
      </c>
      <c r="N92" s="36">
        <v>45223.631081944448</v>
      </c>
      <c r="O92" s="36">
        <v>45223.631094502314</v>
      </c>
      <c r="P92" t="s">
        <v>773</v>
      </c>
      <c r="Q92">
        <v>1</v>
      </c>
      <c r="R92" t="s">
        <v>724</v>
      </c>
      <c r="S92">
        <v>1713812924634</v>
      </c>
    </row>
    <row r="93" spans="1:19" x14ac:dyDescent="0.35">
      <c r="A93">
        <v>92</v>
      </c>
      <c r="B93">
        <v>1000</v>
      </c>
      <c r="C93">
        <v>12000</v>
      </c>
      <c r="D93">
        <v>12001</v>
      </c>
      <c r="E93">
        <v>3000</v>
      </c>
      <c r="F93" t="s">
        <v>158</v>
      </c>
      <c r="G93" t="s">
        <v>16</v>
      </c>
      <c r="H93" t="s">
        <v>18</v>
      </c>
      <c r="I93" t="s">
        <v>18</v>
      </c>
      <c r="J93" t="s">
        <v>722</v>
      </c>
      <c r="K93">
        <v>3</v>
      </c>
      <c r="L93">
        <v>2</v>
      </c>
      <c r="M93">
        <v>4</v>
      </c>
      <c r="N93" s="36">
        <v>45223.631084525463</v>
      </c>
      <c r="O93" s="36">
        <v>45223.63109560185</v>
      </c>
      <c r="P93" t="s">
        <v>773</v>
      </c>
      <c r="Q93">
        <v>1</v>
      </c>
      <c r="R93" t="s">
        <v>724</v>
      </c>
      <c r="S93">
        <v>1713812924634</v>
      </c>
    </row>
    <row r="94" spans="1:19" x14ac:dyDescent="0.35">
      <c r="A94">
        <v>93</v>
      </c>
      <c r="B94">
        <v>1000</v>
      </c>
      <c r="C94">
        <v>13000</v>
      </c>
      <c r="D94">
        <v>13001</v>
      </c>
      <c r="E94">
        <v>3000</v>
      </c>
      <c r="F94" t="s">
        <v>158</v>
      </c>
      <c r="G94" t="s">
        <v>21</v>
      </c>
      <c r="H94" t="s">
        <v>90</v>
      </c>
      <c r="I94" t="s">
        <v>90</v>
      </c>
      <c r="J94" t="s">
        <v>722</v>
      </c>
      <c r="K94">
        <v>3</v>
      </c>
      <c r="L94">
        <v>2</v>
      </c>
      <c r="M94">
        <v>4</v>
      </c>
      <c r="N94" s="36">
        <v>45223.631086597219</v>
      </c>
      <c r="O94" s="36">
        <v>45223.631096550926</v>
      </c>
      <c r="P94" t="s">
        <v>773</v>
      </c>
      <c r="Q94">
        <v>1</v>
      </c>
      <c r="R94" t="s">
        <v>724</v>
      </c>
      <c r="S94">
        <v>1713812924634</v>
      </c>
    </row>
    <row r="95" spans="1:19" x14ac:dyDescent="0.35">
      <c r="A95">
        <v>94</v>
      </c>
      <c r="B95">
        <v>1001</v>
      </c>
      <c r="C95">
        <v>4000</v>
      </c>
      <c r="D95">
        <v>4001</v>
      </c>
      <c r="E95">
        <v>3000</v>
      </c>
      <c r="F95" t="s">
        <v>158</v>
      </c>
      <c r="G95" t="s">
        <v>184</v>
      </c>
      <c r="H95" t="s">
        <v>75</v>
      </c>
      <c r="I95" t="s">
        <v>75</v>
      </c>
      <c r="J95" t="s">
        <v>722</v>
      </c>
      <c r="K95">
        <v>3</v>
      </c>
      <c r="L95">
        <v>2</v>
      </c>
      <c r="M95">
        <v>4</v>
      </c>
      <c r="N95" s="36">
        <v>45223.631098981481</v>
      </c>
      <c r="O95" s="36">
        <v>45223.631113333337</v>
      </c>
      <c r="P95" t="s">
        <v>773</v>
      </c>
      <c r="Q95">
        <v>1</v>
      </c>
      <c r="R95" t="s">
        <v>724</v>
      </c>
      <c r="S95">
        <v>1713812926901</v>
      </c>
    </row>
    <row r="96" spans="1:19" x14ac:dyDescent="0.35">
      <c r="A96">
        <v>95</v>
      </c>
      <c r="B96">
        <v>1001</v>
      </c>
      <c r="C96">
        <v>5000</v>
      </c>
      <c r="D96">
        <v>5001</v>
      </c>
      <c r="E96">
        <v>3000</v>
      </c>
      <c r="F96" t="s">
        <v>158</v>
      </c>
      <c r="G96" t="s">
        <v>3</v>
      </c>
      <c r="H96" t="s">
        <v>80</v>
      </c>
      <c r="I96" t="s">
        <v>80</v>
      </c>
      <c r="J96" t="s">
        <v>722</v>
      </c>
      <c r="K96">
        <v>3</v>
      </c>
      <c r="L96">
        <v>2</v>
      </c>
      <c r="M96">
        <v>4</v>
      </c>
      <c r="N96" s="36">
        <v>45223.631100312501</v>
      </c>
      <c r="O96" s="36">
        <v>45223.631114664349</v>
      </c>
      <c r="P96" t="s">
        <v>773</v>
      </c>
      <c r="Q96">
        <v>1</v>
      </c>
      <c r="R96" t="s">
        <v>724</v>
      </c>
      <c r="S96">
        <v>1713812926901</v>
      </c>
    </row>
    <row r="97" spans="1:19" x14ac:dyDescent="0.35">
      <c r="A97">
        <v>96</v>
      </c>
      <c r="B97">
        <v>1001</v>
      </c>
      <c r="C97">
        <v>8000</v>
      </c>
      <c r="D97">
        <v>8001</v>
      </c>
      <c r="E97">
        <v>3000</v>
      </c>
      <c r="F97" t="s">
        <v>158</v>
      </c>
      <c r="G97" t="s">
        <v>167</v>
      </c>
      <c r="H97" t="s">
        <v>9</v>
      </c>
      <c r="I97" t="s">
        <v>9</v>
      </c>
      <c r="J97" t="s">
        <v>722</v>
      </c>
      <c r="K97">
        <v>3</v>
      </c>
      <c r="L97">
        <v>2</v>
      </c>
      <c r="M97">
        <v>4</v>
      </c>
      <c r="N97" s="36">
        <v>45223.631101770836</v>
      </c>
      <c r="O97" s="36">
        <v>45223.631116006945</v>
      </c>
      <c r="P97" t="s">
        <v>773</v>
      </c>
      <c r="Q97">
        <v>1</v>
      </c>
      <c r="R97" t="s">
        <v>724</v>
      </c>
      <c r="S97">
        <v>1713812926901</v>
      </c>
    </row>
    <row r="98" spans="1:19" x14ac:dyDescent="0.35">
      <c r="A98">
        <v>97</v>
      </c>
      <c r="B98">
        <v>1001</v>
      </c>
      <c r="C98">
        <v>9000</v>
      </c>
      <c r="D98">
        <v>9001</v>
      </c>
      <c r="E98">
        <v>3000</v>
      </c>
      <c r="F98" t="s">
        <v>158</v>
      </c>
      <c r="G98" t="s">
        <v>168</v>
      </c>
      <c r="H98" t="s">
        <v>88</v>
      </c>
      <c r="I98" t="s">
        <v>88</v>
      </c>
      <c r="J98" t="s">
        <v>722</v>
      </c>
      <c r="K98">
        <v>3</v>
      </c>
      <c r="L98">
        <v>4</v>
      </c>
      <c r="M98">
        <v>4</v>
      </c>
      <c r="N98" s="36">
        <v>45223.631103368054</v>
      </c>
      <c r="O98" s="36">
        <v>45223.631117129633</v>
      </c>
      <c r="P98" t="s">
        <v>773</v>
      </c>
      <c r="Q98">
        <v>1</v>
      </c>
      <c r="R98" t="s">
        <v>724</v>
      </c>
      <c r="S98">
        <v>1713812926901</v>
      </c>
    </row>
    <row r="99" spans="1:19" x14ac:dyDescent="0.35">
      <c r="A99">
        <v>98</v>
      </c>
      <c r="B99">
        <v>1001</v>
      </c>
      <c r="C99">
        <v>10000</v>
      </c>
      <c r="D99">
        <v>10002</v>
      </c>
      <c r="E99">
        <v>3000</v>
      </c>
      <c r="F99" t="s">
        <v>158</v>
      </c>
      <c r="G99" t="s">
        <v>169</v>
      </c>
      <c r="H99" t="s">
        <v>9</v>
      </c>
      <c r="I99" t="s">
        <v>9</v>
      </c>
      <c r="J99" t="s">
        <v>722</v>
      </c>
      <c r="K99">
        <v>3</v>
      </c>
      <c r="L99">
        <v>4</v>
      </c>
      <c r="M99">
        <v>4</v>
      </c>
      <c r="N99" s="36">
        <v>45223.631105069442</v>
      </c>
      <c r="O99" s="36">
        <v>45223.631118078702</v>
      </c>
      <c r="P99" t="s">
        <v>773</v>
      </c>
      <c r="Q99">
        <v>1</v>
      </c>
      <c r="R99" t="s">
        <v>724</v>
      </c>
      <c r="S99">
        <v>1713812926901</v>
      </c>
    </row>
    <row r="100" spans="1:19" x14ac:dyDescent="0.35">
      <c r="A100">
        <v>99</v>
      </c>
      <c r="B100">
        <v>1001</v>
      </c>
      <c r="C100">
        <v>11000</v>
      </c>
      <c r="D100">
        <v>11001</v>
      </c>
      <c r="E100">
        <v>3000</v>
      </c>
      <c r="F100" t="s">
        <v>158</v>
      </c>
      <c r="G100" t="s">
        <v>170</v>
      </c>
      <c r="H100" t="s">
        <v>9</v>
      </c>
      <c r="I100" t="s">
        <v>9</v>
      </c>
      <c r="J100" t="s">
        <v>722</v>
      </c>
      <c r="K100">
        <v>3</v>
      </c>
      <c r="L100">
        <v>4</v>
      </c>
      <c r="M100">
        <v>4</v>
      </c>
      <c r="N100" s="36">
        <v>45223.631108877315</v>
      </c>
      <c r="O100" s="36">
        <v>45223.631119155092</v>
      </c>
      <c r="P100" t="s">
        <v>773</v>
      </c>
      <c r="Q100">
        <v>1</v>
      </c>
      <c r="R100" t="s">
        <v>724</v>
      </c>
      <c r="S100">
        <v>1713812926901</v>
      </c>
    </row>
    <row r="101" spans="1:19" x14ac:dyDescent="0.35">
      <c r="A101">
        <v>100</v>
      </c>
      <c r="B101">
        <v>1001</v>
      </c>
      <c r="C101">
        <v>12000</v>
      </c>
      <c r="D101">
        <v>12001</v>
      </c>
      <c r="E101">
        <v>3000</v>
      </c>
      <c r="F101" t="s">
        <v>158</v>
      </c>
      <c r="G101" t="s">
        <v>16</v>
      </c>
      <c r="H101" t="s">
        <v>18</v>
      </c>
      <c r="I101" t="s">
        <v>18</v>
      </c>
      <c r="J101" t="s">
        <v>722</v>
      </c>
      <c r="K101">
        <v>3</v>
      </c>
      <c r="L101">
        <v>2</v>
      </c>
      <c r="M101">
        <v>4</v>
      </c>
      <c r="N101" s="36">
        <v>45223.631110289352</v>
      </c>
      <c r="O101" s="36">
        <v>45223.631120729166</v>
      </c>
      <c r="P101" t="s">
        <v>773</v>
      </c>
      <c r="Q101">
        <v>1</v>
      </c>
      <c r="R101" t="s">
        <v>724</v>
      </c>
      <c r="S101">
        <v>1713812926901</v>
      </c>
    </row>
    <row r="102" spans="1:19" x14ac:dyDescent="0.35">
      <c r="A102">
        <v>101</v>
      </c>
      <c r="B102">
        <v>1001</v>
      </c>
      <c r="C102">
        <v>13000</v>
      </c>
      <c r="D102">
        <v>13001</v>
      </c>
      <c r="E102">
        <v>3000</v>
      </c>
      <c r="F102" t="s">
        <v>158</v>
      </c>
      <c r="G102" t="s">
        <v>21</v>
      </c>
      <c r="H102" t="s">
        <v>90</v>
      </c>
      <c r="I102" t="s">
        <v>90</v>
      </c>
      <c r="J102" t="s">
        <v>722</v>
      </c>
      <c r="K102">
        <v>3</v>
      </c>
      <c r="L102">
        <v>2</v>
      </c>
      <c r="M102">
        <v>4</v>
      </c>
      <c r="N102" s="36">
        <v>45223.631111875002</v>
      </c>
      <c r="O102" s="36">
        <v>45223.631122361112</v>
      </c>
      <c r="P102" t="s">
        <v>773</v>
      </c>
      <c r="Q102">
        <v>1</v>
      </c>
      <c r="R102" t="s">
        <v>724</v>
      </c>
      <c r="S102">
        <v>1713812926901</v>
      </c>
    </row>
    <row r="103" spans="1:19" x14ac:dyDescent="0.35">
      <c r="A103">
        <v>102</v>
      </c>
      <c r="B103">
        <v>1003</v>
      </c>
      <c r="C103">
        <v>4000</v>
      </c>
      <c r="D103">
        <v>4001</v>
      </c>
      <c r="E103">
        <v>3000</v>
      </c>
      <c r="F103" t="s">
        <v>158</v>
      </c>
      <c r="G103" t="s">
        <v>184</v>
      </c>
      <c r="H103" t="s">
        <v>75</v>
      </c>
      <c r="I103" t="s">
        <v>75</v>
      </c>
      <c r="J103" t="s">
        <v>722</v>
      </c>
      <c r="K103">
        <v>3</v>
      </c>
      <c r="L103">
        <v>2</v>
      </c>
      <c r="M103">
        <v>4</v>
      </c>
      <c r="N103" s="36">
        <v>45223.631125312502</v>
      </c>
      <c r="O103" s="36">
        <v>45223.63113858796</v>
      </c>
      <c r="P103" t="s">
        <v>773</v>
      </c>
      <c r="Q103">
        <v>1</v>
      </c>
      <c r="R103" t="s">
        <v>724</v>
      </c>
      <c r="S103">
        <v>1713812929181</v>
      </c>
    </row>
    <row r="104" spans="1:19" x14ac:dyDescent="0.35">
      <c r="A104">
        <v>103</v>
      </c>
      <c r="B104">
        <v>1003</v>
      </c>
      <c r="C104">
        <v>5000</v>
      </c>
      <c r="D104">
        <v>5001</v>
      </c>
      <c r="E104">
        <v>3000</v>
      </c>
      <c r="F104" t="s">
        <v>158</v>
      </c>
      <c r="G104" t="s">
        <v>3</v>
      </c>
      <c r="H104" t="s">
        <v>80</v>
      </c>
      <c r="I104" t="s">
        <v>80</v>
      </c>
      <c r="J104" t="s">
        <v>722</v>
      </c>
      <c r="K104">
        <v>3</v>
      </c>
      <c r="L104">
        <v>2</v>
      </c>
      <c r="M104">
        <v>4</v>
      </c>
      <c r="N104" s="36">
        <v>45223.631126851855</v>
      </c>
      <c r="O104" s="36">
        <v>45223.631140254627</v>
      </c>
      <c r="P104" t="s">
        <v>773</v>
      </c>
      <c r="Q104">
        <v>1</v>
      </c>
      <c r="R104" t="s">
        <v>724</v>
      </c>
      <c r="S104">
        <v>1713812929181</v>
      </c>
    </row>
    <row r="105" spans="1:19" x14ac:dyDescent="0.35">
      <c r="A105">
        <v>104</v>
      </c>
      <c r="B105">
        <v>1003</v>
      </c>
      <c r="C105">
        <v>8000</v>
      </c>
      <c r="D105">
        <v>8001</v>
      </c>
      <c r="E105">
        <v>3000</v>
      </c>
      <c r="F105" t="s">
        <v>158</v>
      </c>
      <c r="G105" t="s">
        <v>167</v>
      </c>
      <c r="H105" t="s">
        <v>9</v>
      </c>
      <c r="I105" t="s">
        <v>9</v>
      </c>
      <c r="J105" t="s">
        <v>722</v>
      </c>
      <c r="K105">
        <v>3</v>
      </c>
      <c r="L105">
        <v>2</v>
      </c>
      <c r="M105">
        <v>4</v>
      </c>
      <c r="N105" s="36">
        <v>45223.631128252317</v>
      </c>
      <c r="O105" s="36">
        <v>45223.631142060185</v>
      </c>
      <c r="P105" t="s">
        <v>773</v>
      </c>
      <c r="Q105">
        <v>1</v>
      </c>
      <c r="R105" t="s">
        <v>724</v>
      </c>
      <c r="S105">
        <v>1713812929181</v>
      </c>
    </row>
    <row r="106" spans="1:19" x14ac:dyDescent="0.35">
      <c r="A106">
        <v>105</v>
      </c>
      <c r="B106">
        <v>1003</v>
      </c>
      <c r="C106">
        <v>9000</v>
      </c>
      <c r="D106">
        <v>9001</v>
      </c>
      <c r="E106">
        <v>3000</v>
      </c>
      <c r="F106" t="s">
        <v>158</v>
      </c>
      <c r="G106" t="s">
        <v>168</v>
      </c>
      <c r="H106" t="s">
        <v>88</v>
      </c>
      <c r="I106" t="s">
        <v>88</v>
      </c>
      <c r="J106" t="s">
        <v>722</v>
      </c>
      <c r="K106">
        <v>3</v>
      </c>
      <c r="L106">
        <v>4</v>
      </c>
      <c r="M106">
        <v>4</v>
      </c>
      <c r="N106" s="36">
        <v>45223.631129699075</v>
      </c>
      <c r="O106" s="36">
        <v>45223.631143749997</v>
      </c>
      <c r="P106" t="s">
        <v>773</v>
      </c>
      <c r="Q106">
        <v>1</v>
      </c>
      <c r="R106" t="s">
        <v>724</v>
      </c>
      <c r="S106">
        <v>1713812929181</v>
      </c>
    </row>
    <row r="107" spans="1:19" x14ac:dyDescent="0.35">
      <c r="A107">
        <v>106</v>
      </c>
      <c r="B107">
        <v>1003</v>
      </c>
      <c r="C107">
        <v>10000</v>
      </c>
      <c r="D107">
        <v>10002</v>
      </c>
      <c r="E107">
        <v>3000</v>
      </c>
      <c r="F107" t="s">
        <v>158</v>
      </c>
      <c r="G107" t="s">
        <v>169</v>
      </c>
      <c r="H107" t="s">
        <v>9</v>
      </c>
      <c r="I107" t="s">
        <v>9</v>
      </c>
      <c r="J107" t="s">
        <v>722</v>
      </c>
      <c r="K107">
        <v>3</v>
      </c>
      <c r="L107">
        <v>4</v>
      </c>
      <c r="M107">
        <v>4</v>
      </c>
      <c r="N107" s="36">
        <v>45223.631131134258</v>
      </c>
      <c r="O107" s="36">
        <v>45223.63114539352</v>
      </c>
      <c r="P107" t="s">
        <v>773</v>
      </c>
      <c r="Q107">
        <v>1</v>
      </c>
      <c r="R107" t="s">
        <v>724</v>
      </c>
      <c r="S107">
        <v>1713812929181</v>
      </c>
    </row>
    <row r="108" spans="1:19" x14ac:dyDescent="0.35">
      <c r="A108">
        <v>107</v>
      </c>
      <c r="B108">
        <v>1003</v>
      </c>
      <c r="C108">
        <v>11000</v>
      </c>
      <c r="D108">
        <v>11001</v>
      </c>
      <c r="E108">
        <v>3000</v>
      </c>
      <c r="F108" t="s">
        <v>158</v>
      </c>
      <c r="G108" t="s">
        <v>170</v>
      </c>
      <c r="H108" t="s">
        <v>9</v>
      </c>
      <c r="I108" t="s">
        <v>9</v>
      </c>
      <c r="J108" t="s">
        <v>722</v>
      </c>
      <c r="K108">
        <v>3</v>
      </c>
      <c r="L108">
        <v>4</v>
      </c>
      <c r="M108">
        <v>4</v>
      </c>
      <c r="N108" s="36">
        <v>45223.631132511575</v>
      </c>
      <c r="O108" s="36">
        <v>45223.631147152781</v>
      </c>
      <c r="P108" t="s">
        <v>773</v>
      </c>
      <c r="Q108">
        <v>1</v>
      </c>
      <c r="R108" t="s">
        <v>724</v>
      </c>
      <c r="S108">
        <v>1713812929181</v>
      </c>
    </row>
    <row r="109" spans="1:19" x14ac:dyDescent="0.35">
      <c r="A109">
        <v>108</v>
      </c>
      <c r="B109">
        <v>1003</v>
      </c>
      <c r="C109">
        <v>12000</v>
      </c>
      <c r="D109">
        <v>12001</v>
      </c>
      <c r="E109">
        <v>3000</v>
      </c>
      <c r="F109" t="s">
        <v>158</v>
      </c>
      <c r="G109" t="s">
        <v>16</v>
      </c>
      <c r="H109" t="s">
        <v>18</v>
      </c>
      <c r="I109" t="s">
        <v>18</v>
      </c>
      <c r="J109" t="s">
        <v>722</v>
      </c>
      <c r="K109">
        <v>3</v>
      </c>
      <c r="L109">
        <v>2</v>
      </c>
      <c r="M109">
        <v>4</v>
      </c>
      <c r="N109" s="36">
        <v>45223.631134618059</v>
      </c>
      <c r="O109" s="36">
        <v>45223.631148703702</v>
      </c>
      <c r="P109" t="s">
        <v>773</v>
      </c>
      <c r="Q109">
        <v>1</v>
      </c>
      <c r="R109" t="s">
        <v>724</v>
      </c>
      <c r="S109">
        <v>1713812929181</v>
      </c>
    </row>
    <row r="110" spans="1:19" x14ac:dyDescent="0.35">
      <c r="A110">
        <v>109</v>
      </c>
      <c r="B110">
        <v>1003</v>
      </c>
      <c r="C110">
        <v>13000</v>
      </c>
      <c r="D110">
        <v>13001</v>
      </c>
      <c r="E110">
        <v>3000</v>
      </c>
      <c r="F110" t="s">
        <v>158</v>
      </c>
      <c r="G110" t="s">
        <v>21</v>
      </c>
      <c r="H110" t="s">
        <v>90</v>
      </c>
      <c r="I110" t="s">
        <v>90</v>
      </c>
      <c r="J110" t="s">
        <v>722</v>
      </c>
      <c r="K110">
        <v>3</v>
      </c>
      <c r="L110">
        <v>2</v>
      </c>
      <c r="M110">
        <v>4</v>
      </c>
      <c r="N110" s="36">
        <v>45223.631135949072</v>
      </c>
      <c r="O110" s="36">
        <v>45223.631149699075</v>
      </c>
      <c r="P110" t="s">
        <v>773</v>
      </c>
      <c r="Q110">
        <v>1</v>
      </c>
      <c r="R110" t="s">
        <v>724</v>
      </c>
      <c r="S110">
        <v>1713812929181</v>
      </c>
    </row>
    <row r="111" spans="1:19" x14ac:dyDescent="0.35">
      <c r="A111">
        <v>110</v>
      </c>
      <c r="B111">
        <v>1003</v>
      </c>
      <c r="C111">
        <v>14000</v>
      </c>
      <c r="D111">
        <v>14001</v>
      </c>
      <c r="E111">
        <v>3000</v>
      </c>
      <c r="F111" t="s">
        <v>158</v>
      </c>
      <c r="G111" t="s">
        <v>54</v>
      </c>
      <c r="H111" t="s">
        <v>24</v>
      </c>
      <c r="I111" t="s">
        <v>24</v>
      </c>
      <c r="J111" t="s">
        <v>722</v>
      </c>
      <c r="K111">
        <v>3</v>
      </c>
      <c r="L111">
        <v>2</v>
      </c>
      <c r="M111">
        <v>4</v>
      </c>
      <c r="N111" s="36">
        <v>45223.63113746528</v>
      </c>
      <c r="O111" s="36">
        <v>45223.631151203706</v>
      </c>
      <c r="P111" t="s">
        <v>773</v>
      </c>
      <c r="Q111">
        <v>1</v>
      </c>
      <c r="R111" t="s">
        <v>724</v>
      </c>
      <c r="S111">
        <v>1713812929181</v>
      </c>
    </row>
    <row r="112" spans="1:19" x14ac:dyDescent="0.35">
      <c r="A112">
        <v>111</v>
      </c>
      <c r="B112">
        <v>1000</v>
      </c>
      <c r="C112">
        <v>6000</v>
      </c>
      <c r="D112">
        <v>6002</v>
      </c>
      <c r="E112">
        <v>2000</v>
      </c>
      <c r="F112" t="s">
        <v>158</v>
      </c>
      <c r="G112" t="s">
        <v>165</v>
      </c>
      <c r="H112" t="s">
        <v>241</v>
      </c>
      <c r="I112" t="s">
        <v>729</v>
      </c>
      <c r="J112" t="s">
        <v>730</v>
      </c>
      <c r="K112">
        <v>0</v>
      </c>
      <c r="L112">
        <v>5</v>
      </c>
      <c r="M112">
        <v>5</v>
      </c>
      <c r="N112" s="36">
        <v>45405.735631041665</v>
      </c>
      <c r="O112" s="36">
        <v>45405.735750277781</v>
      </c>
      <c r="P112" t="s">
        <v>731</v>
      </c>
      <c r="Q112">
        <v>0</v>
      </c>
      <c r="R112" t="s">
        <v>724</v>
      </c>
      <c r="S112">
        <v>0</v>
      </c>
    </row>
    <row r="113" spans="1:19" x14ac:dyDescent="0.35">
      <c r="A113">
        <v>112</v>
      </c>
      <c r="B113">
        <v>1001</v>
      </c>
      <c r="C113">
        <v>6000</v>
      </c>
      <c r="D113">
        <v>6000</v>
      </c>
      <c r="E113">
        <v>2000</v>
      </c>
      <c r="F113" t="s">
        <v>158</v>
      </c>
      <c r="G113" t="s">
        <v>165</v>
      </c>
      <c r="H113" t="s">
        <v>239</v>
      </c>
      <c r="I113" t="s">
        <v>733</v>
      </c>
      <c r="J113" t="s">
        <v>730</v>
      </c>
      <c r="K113">
        <v>5</v>
      </c>
      <c r="L113">
        <v>5</v>
      </c>
      <c r="M113">
        <v>5</v>
      </c>
      <c r="N113" s="36">
        <v>45405.735636076388</v>
      </c>
      <c r="O113" s="36">
        <v>45405.735753194444</v>
      </c>
      <c r="P113" t="s">
        <v>731</v>
      </c>
      <c r="Q113">
        <v>0</v>
      </c>
      <c r="R113" t="s">
        <v>724</v>
      </c>
      <c r="S113">
        <v>0</v>
      </c>
    </row>
    <row r="114" spans="1:19" x14ac:dyDescent="0.35">
      <c r="A114">
        <v>113</v>
      </c>
      <c r="B114">
        <v>1003</v>
      </c>
      <c r="C114">
        <v>6000</v>
      </c>
      <c r="D114">
        <v>6000</v>
      </c>
      <c r="E114">
        <v>2000</v>
      </c>
      <c r="F114" t="s">
        <v>158</v>
      </c>
      <c r="G114" t="s">
        <v>165</v>
      </c>
      <c r="H114" t="s">
        <v>239</v>
      </c>
      <c r="I114" t="s">
        <v>734</v>
      </c>
      <c r="J114" t="s">
        <v>730</v>
      </c>
      <c r="K114">
        <v>5</v>
      </c>
      <c r="L114">
        <v>5</v>
      </c>
      <c r="M114">
        <v>5</v>
      </c>
      <c r="N114" s="36">
        <v>45405.735640775463</v>
      </c>
      <c r="O114" s="36">
        <v>45405.735756932867</v>
      </c>
      <c r="P114" t="s">
        <v>731</v>
      </c>
      <c r="Q114">
        <v>0</v>
      </c>
      <c r="R114" t="s">
        <v>724</v>
      </c>
      <c r="S114">
        <v>0</v>
      </c>
    </row>
    <row r="115" spans="1:19" x14ac:dyDescent="0.35">
      <c r="A115">
        <v>114</v>
      </c>
      <c r="B115">
        <v>1000</v>
      </c>
      <c r="C115">
        <v>15000</v>
      </c>
      <c r="D115">
        <v>15001</v>
      </c>
      <c r="E115">
        <v>2000</v>
      </c>
      <c r="F115" t="s">
        <v>158</v>
      </c>
      <c r="G115" t="s">
        <v>55</v>
      </c>
      <c r="H115" t="s">
        <v>246</v>
      </c>
      <c r="I115" t="s">
        <v>735</v>
      </c>
      <c r="J115" t="s">
        <v>730</v>
      </c>
      <c r="K115">
        <v>2</v>
      </c>
      <c r="L115">
        <v>3</v>
      </c>
      <c r="M115">
        <v>3</v>
      </c>
      <c r="N115" s="36">
        <v>45405.735647060188</v>
      </c>
      <c r="O115" s="36">
        <v>45405.735761805554</v>
      </c>
      <c r="P115" t="s">
        <v>731</v>
      </c>
      <c r="Q115">
        <v>0</v>
      </c>
      <c r="R115" t="s">
        <v>724</v>
      </c>
      <c r="S115">
        <v>0</v>
      </c>
    </row>
    <row r="116" spans="1:19" x14ac:dyDescent="0.35">
      <c r="A116">
        <v>115</v>
      </c>
      <c r="B116">
        <v>1001</v>
      </c>
      <c r="C116">
        <v>15000</v>
      </c>
      <c r="D116">
        <v>15002</v>
      </c>
      <c r="E116">
        <v>2000</v>
      </c>
      <c r="F116" t="s">
        <v>158</v>
      </c>
      <c r="G116" t="s">
        <v>55</v>
      </c>
      <c r="H116" t="s">
        <v>248</v>
      </c>
      <c r="I116" t="s">
        <v>736</v>
      </c>
      <c r="J116" t="s">
        <v>730</v>
      </c>
      <c r="K116">
        <v>1</v>
      </c>
      <c r="L116">
        <v>3</v>
      </c>
      <c r="M116">
        <v>3</v>
      </c>
      <c r="N116" s="36">
        <v>45405.735652152776</v>
      </c>
      <c r="O116" s="36">
        <v>45405.735765509256</v>
      </c>
      <c r="P116" t="s">
        <v>731</v>
      </c>
      <c r="Q116">
        <v>0</v>
      </c>
      <c r="R116" t="s">
        <v>724</v>
      </c>
      <c r="S116">
        <v>0</v>
      </c>
    </row>
    <row r="117" spans="1:19" x14ac:dyDescent="0.35">
      <c r="A117">
        <v>116</v>
      </c>
      <c r="B117">
        <v>1003</v>
      </c>
      <c r="C117">
        <v>15000</v>
      </c>
      <c r="D117">
        <v>15002</v>
      </c>
      <c r="E117">
        <v>2000</v>
      </c>
      <c r="F117" t="s">
        <v>158</v>
      </c>
      <c r="G117" t="s">
        <v>55</v>
      </c>
      <c r="H117" t="s">
        <v>248</v>
      </c>
      <c r="I117" t="s">
        <v>737</v>
      </c>
      <c r="J117" t="s">
        <v>730</v>
      </c>
      <c r="K117">
        <v>1</v>
      </c>
      <c r="L117">
        <v>3</v>
      </c>
      <c r="M117">
        <v>3</v>
      </c>
      <c r="N117" s="36">
        <v>45405.735656469908</v>
      </c>
      <c r="O117" s="36">
        <v>45405.735769687497</v>
      </c>
      <c r="P117" t="s">
        <v>731</v>
      </c>
      <c r="Q117">
        <v>0</v>
      </c>
      <c r="R117" t="s">
        <v>724</v>
      </c>
      <c r="S117">
        <v>0</v>
      </c>
    </row>
    <row r="118" spans="1:19" x14ac:dyDescent="0.35">
      <c r="A118">
        <v>117</v>
      </c>
      <c r="B118">
        <v>1000</v>
      </c>
      <c r="C118">
        <v>1000</v>
      </c>
      <c r="D118">
        <v>1000</v>
      </c>
      <c r="E118">
        <v>2000</v>
      </c>
      <c r="F118" t="s">
        <v>158</v>
      </c>
      <c r="G118" t="s">
        <v>163</v>
      </c>
      <c r="H118" t="s">
        <v>179</v>
      </c>
      <c r="I118" t="s">
        <v>738</v>
      </c>
      <c r="J118" t="s">
        <v>730</v>
      </c>
      <c r="K118">
        <v>2</v>
      </c>
      <c r="L118">
        <v>2</v>
      </c>
      <c r="M118">
        <v>3</v>
      </c>
      <c r="N118" s="36">
        <v>45405.735662037034</v>
      </c>
      <c r="O118" s="36">
        <v>45405.735773749999</v>
      </c>
      <c r="P118" t="s">
        <v>731</v>
      </c>
      <c r="Q118">
        <v>0</v>
      </c>
      <c r="R118" t="s">
        <v>724</v>
      </c>
      <c r="S118">
        <v>0</v>
      </c>
    </row>
    <row r="119" spans="1:19" x14ac:dyDescent="0.35">
      <c r="A119">
        <v>118</v>
      </c>
      <c r="B119">
        <v>1001</v>
      </c>
      <c r="C119">
        <v>1000</v>
      </c>
      <c r="D119">
        <v>1001</v>
      </c>
      <c r="E119">
        <v>2000</v>
      </c>
      <c r="F119" t="s">
        <v>158</v>
      </c>
      <c r="G119" t="s">
        <v>163</v>
      </c>
      <c r="H119" t="s">
        <v>180</v>
      </c>
      <c r="I119" t="s">
        <v>739</v>
      </c>
      <c r="J119" t="s">
        <v>730</v>
      </c>
      <c r="K119">
        <v>3</v>
      </c>
      <c r="L119">
        <v>2</v>
      </c>
      <c r="M119">
        <v>3</v>
      </c>
      <c r="N119" s="36">
        <v>45405.735665613429</v>
      </c>
      <c r="O119" s="36">
        <v>45405.735776944442</v>
      </c>
      <c r="P119" t="s">
        <v>731</v>
      </c>
      <c r="Q119">
        <v>0</v>
      </c>
      <c r="R119" t="s">
        <v>724</v>
      </c>
      <c r="S119">
        <v>0</v>
      </c>
    </row>
    <row r="120" spans="1:19" x14ac:dyDescent="0.35">
      <c r="A120">
        <v>119</v>
      </c>
      <c r="B120">
        <v>1003</v>
      </c>
      <c r="C120">
        <v>1000</v>
      </c>
      <c r="D120">
        <v>1002</v>
      </c>
      <c r="E120">
        <v>2000</v>
      </c>
      <c r="F120" t="s">
        <v>158</v>
      </c>
      <c r="G120" t="s">
        <v>163</v>
      </c>
      <c r="H120" t="s">
        <v>718</v>
      </c>
      <c r="I120" t="s">
        <v>740</v>
      </c>
      <c r="J120" t="s">
        <v>730</v>
      </c>
      <c r="K120">
        <v>2</v>
      </c>
      <c r="L120">
        <v>2</v>
      </c>
      <c r="M120">
        <v>3</v>
      </c>
      <c r="N120" s="36">
        <v>45405.735669363428</v>
      </c>
      <c r="O120" s="36">
        <v>45405.735779953706</v>
      </c>
      <c r="P120" t="s">
        <v>731</v>
      </c>
      <c r="Q120">
        <v>0</v>
      </c>
      <c r="R120" t="s">
        <v>724</v>
      </c>
      <c r="S120">
        <v>0</v>
      </c>
    </row>
    <row r="121" spans="1:19" x14ac:dyDescent="0.35">
      <c r="A121">
        <v>120</v>
      </c>
      <c r="B121">
        <v>1000</v>
      </c>
      <c r="C121">
        <v>3000</v>
      </c>
      <c r="D121">
        <v>3003</v>
      </c>
      <c r="E121">
        <v>2000</v>
      </c>
      <c r="F121" t="s">
        <v>158</v>
      </c>
      <c r="G121" t="s">
        <v>164</v>
      </c>
      <c r="H121" t="s">
        <v>234</v>
      </c>
      <c r="I121" t="s">
        <v>741</v>
      </c>
      <c r="J121" t="s">
        <v>730</v>
      </c>
      <c r="K121">
        <v>1</v>
      </c>
      <c r="L121">
        <v>1</v>
      </c>
      <c r="M121">
        <v>4</v>
      </c>
      <c r="N121" s="36">
        <v>45405.735675497686</v>
      </c>
      <c r="O121" s="36">
        <v>45405.735784004632</v>
      </c>
      <c r="P121" t="s">
        <v>731</v>
      </c>
      <c r="Q121">
        <v>0</v>
      </c>
      <c r="R121" t="s">
        <v>724</v>
      </c>
      <c r="S121">
        <v>0</v>
      </c>
    </row>
    <row r="122" spans="1:19" x14ac:dyDescent="0.35">
      <c r="A122">
        <v>121</v>
      </c>
      <c r="B122">
        <v>1001</v>
      </c>
      <c r="C122">
        <v>3000</v>
      </c>
      <c r="D122">
        <v>3001</v>
      </c>
      <c r="E122">
        <v>2000</v>
      </c>
      <c r="F122" t="s">
        <v>158</v>
      </c>
      <c r="G122" t="s">
        <v>164</v>
      </c>
      <c r="H122" t="s">
        <v>232</v>
      </c>
      <c r="I122" t="s">
        <v>742</v>
      </c>
      <c r="J122" t="s">
        <v>730</v>
      </c>
      <c r="K122">
        <v>3</v>
      </c>
      <c r="L122">
        <v>1</v>
      </c>
      <c r="M122">
        <v>4</v>
      </c>
      <c r="N122" s="36">
        <v>45405.735680763886</v>
      </c>
      <c r="O122" s="36">
        <v>45405.735786909725</v>
      </c>
      <c r="P122" t="s">
        <v>731</v>
      </c>
      <c r="Q122">
        <v>0</v>
      </c>
      <c r="R122" t="s">
        <v>724</v>
      </c>
      <c r="S122">
        <v>0</v>
      </c>
    </row>
    <row r="123" spans="1:19" x14ac:dyDescent="0.35">
      <c r="A123">
        <v>122</v>
      </c>
      <c r="B123">
        <v>1003</v>
      </c>
      <c r="C123">
        <v>3000</v>
      </c>
      <c r="D123">
        <v>3001</v>
      </c>
      <c r="E123">
        <v>2000</v>
      </c>
      <c r="F123" t="s">
        <v>158</v>
      </c>
      <c r="G123" t="s">
        <v>164</v>
      </c>
      <c r="H123" t="s">
        <v>232</v>
      </c>
      <c r="I123" t="s">
        <v>743</v>
      </c>
      <c r="J123" t="s">
        <v>730</v>
      </c>
      <c r="K123">
        <v>3</v>
      </c>
      <c r="L123">
        <v>1</v>
      </c>
      <c r="M123">
        <v>4</v>
      </c>
      <c r="N123" s="36">
        <v>45405.7356855787</v>
      </c>
      <c r="O123" s="36">
        <v>45405.735790358798</v>
      </c>
      <c r="P123" t="s">
        <v>731</v>
      </c>
      <c r="Q123">
        <v>0</v>
      </c>
      <c r="R123" t="s">
        <v>724</v>
      </c>
      <c r="S123">
        <v>0</v>
      </c>
    </row>
    <row r="124" spans="1:19" x14ac:dyDescent="0.35">
      <c r="A124">
        <v>123</v>
      </c>
      <c r="B124">
        <v>1000</v>
      </c>
      <c r="C124">
        <v>7000</v>
      </c>
      <c r="D124">
        <v>7001</v>
      </c>
      <c r="E124">
        <v>2000</v>
      </c>
      <c r="F124" t="s">
        <v>158</v>
      </c>
      <c r="G124" t="s">
        <v>166</v>
      </c>
      <c r="H124" t="s">
        <v>243</v>
      </c>
      <c r="I124" t="s">
        <v>744</v>
      </c>
      <c r="J124" t="s">
        <v>730</v>
      </c>
      <c r="K124">
        <v>2</v>
      </c>
      <c r="L124">
        <v>2</v>
      </c>
      <c r="M124">
        <v>4</v>
      </c>
      <c r="N124" s="36">
        <v>45405.735690567133</v>
      </c>
      <c r="O124" s="36">
        <v>45405.735795231485</v>
      </c>
      <c r="P124" t="s">
        <v>731</v>
      </c>
      <c r="Q124">
        <v>0</v>
      </c>
      <c r="R124" t="s">
        <v>724</v>
      </c>
      <c r="S124">
        <v>0</v>
      </c>
    </row>
    <row r="125" spans="1:19" x14ac:dyDescent="0.35">
      <c r="A125">
        <v>124</v>
      </c>
      <c r="B125">
        <v>1001</v>
      </c>
      <c r="C125">
        <v>7000</v>
      </c>
      <c r="D125">
        <v>7002</v>
      </c>
      <c r="E125">
        <v>2000</v>
      </c>
      <c r="F125" t="s">
        <v>158</v>
      </c>
      <c r="G125" t="s">
        <v>166</v>
      </c>
      <c r="H125" t="s">
        <v>249</v>
      </c>
      <c r="I125" t="s">
        <v>745</v>
      </c>
      <c r="J125" t="s">
        <v>730</v>
      </c>
      <c r="K125">
        <v>0</v>
      </c>
      <c r="L125">
        <v>2</v>
      </c>
      <c r="M125">
        <v>4</v>
      </c>
      <c r="N125" s="36">
        <v>45405.73569483796</v>
      </c>
      <c r="O125" s="36">
        <v>45405.735798437498</v>
      </c>
      <c r="P125" t="s">
        <v>731</v>
      </c>
      <c r="Q125">
        <v>0</v>
      </c>
      <c r="R125" t="s">
        <v>724</v>
      </c>
      <c r="S125">
        <v>0</v>
      </c>
    </row>
    <row r="126" spans="1:19" x14ac:dyDescent="0.35">
      <c r="A126">
        <v>125</v>
      </c>
      <c r="B126">
        <v>1003</v>
      </c>
      <c r="C126">
        <v>7000</v>
      </c>
      <c r="D126">
        <v>7002</v>
      </c>
      <c r="E126">
        <v>2000</v>
      </c>
      <c r="F126" t="s">
        <v>158</v>
      </c>
      <c r="G126" t="s">
        <v>166</v>
      </c>
      <c r="H126" t="s">
        <v>249</v>
      </c>
      <c r="I126" t="s">
        <v>729</v>
      </c>
      <c r="J126" t="s">
        <v>730</v>
      </c>
      <c r="K126">
        <v>0</v>
      </c>
      <c r="L126">
        <v>2</v>
      </c>
      <c r="M126">
        <v>4</v>
      </c>
      <c r="N126" s="36">
        <v>45405.735698842589</v>
      </c>
      <c r="O126" s="36">
        <v>45405.735801493058</v>
      </c>
      <c r="P126" t="s">
        <v>731</v>
      </c>
      <c r="Q126">
        <v>0</v>
      </c>
      <c r="R126" t="s">
        <v>724</v>
      </c>
      <c r="S126">
        <v>0</v>
      </c>
    </row>
    <row r="127" spans="1:19" x14ac:dyDescent="0.35">
      <c r="A127">
        <v>126</v>
      </c>
      <c r="B127">
        <v>1000</v>
      </c>
      <c r="C127">
        <v>2000</v>
      </c>
      <c r="D127">
        <v>2000</v>
      </c>
      <c r="E127">
        <v>2000</v>
      </c>
      <c r="F127" t="s">
        <v>158</v>
      </c>
      <c r="G127" t="s">
        <v>193</v>
      </c>
      <c r="H127" t="s">
        <v>48</v>
      </c>
      <c r="I127" t="s">
        <v>746</v>
      </c>
      <c r="J127" t="s">
        <v>730</v>
      </c>
      <c r="K127">
        <v>4</v>
      </c>
      <c r="L127">
        <v>2</v>
      </c>
      <c r="M127">
        <v>4</v>
      </c>
      <c r="N127" s="36">
        <v>45405.73570474537</v>
      </c>
      <c r="O127" s="36">
        <v>45405.735805578704</v>
      </c>
      <c r="P127" t="s">
        <v>731</v>
      </c>
      <c r="Q127">
        <v>0</v>
      </c>
      <c r="R127" t="s">
        <v>724</v>
      </c>
      <c r="S127">
        <v>0</v>
      </c>
    </row>
    <row r="128" spans="1:19" x14ac:dyDescent="0.35">
      <c r="A128">
        <v>127</v>
      </c>
      <c r="B128">
        <v>1001</v>
      </c>
      <c r="C128">
        <v>2000</v>
      </c>
      <c r="D128">
        <v>2000</v>
      </c>
      <c r="E128">
        <v>2000</v>
      </c>
      <c r="F128" t="s">
        <v>158</v>
      </c>
      <c r="G128" t="s">
        <v>193</v>
      </c>
      <c r="H128" t="s">
        <v>48</v>
      </c>
      <c r="I128" t="s">
        <v>747</v>
      </c>
      <c r="J128" t="s">
        <v>730</v>
      </c>
      <c r="K128">
        <v>4</v>
      </c>
      <c r="L128">
        <v>2</v>
      </c>
      <c r="M128">
        <v>4</v>
      </c>
      <c r="N128" s="36">
        <v>45405.735708958331</v>
      </c>
      <c r="O128" s="36">
        <v>45405.735808599537</v>
      </c>
      <c r="P128" t="s">
        <v>731</v>
      </c>
      <c r="Q128">
        <v>0</v>
      </c>
      <c r="R128" t="s">
        <v>724</v>
      </c>
      <c r="S128">
        <v>0</v>
      </c>
    </row>
    <row r="129" spans="1:19" x14ac:dyDescent="0.35">
      <c r="A129">
        <v>128</v>
      </c>
      <c r="B129">
        <v>1003</v>
      </c>
      <c r="C129">
        <v>2000</v>
      </c>
      <c r="D129">
        <v>2000</v>
      </c>
      <c r="E129">
        <v>2000</v>
      </c>
      <c r="F129" t="s">
        <v>158</v>
      </c>
      <c r="G129" t="s">
        <v>193</v>
      </c>
      <c r="H129" t="s">
        <v>48</v>
      </c>
      <c r="I129" t="s">
        <v>748</v>
      </c>
      <c r="J129" t="s">
        <v>730</v>
      </c>
      <c r="K129">
        <v>4</v>
      </c>
      <c r="L129">
        <v>2</v>
      </c>
      <c r="M129">
        <v>4</v>
      </c>
      <c r="N129" s="36">
        <v>45405.73571228009</v>
      </c>
      <c r="O129" s="36">
        <v>45405.735811979168</v>
      </c>
      <c r="P129" t="s">
        <v>731</v>
      </c>
      <c r="Q129">
        <v>0</v>
      </c>
      <c r="R129" t="s">
        <v>724</v>
      </c>
      <c r="S129">
        <v>0</v>
      </c>
    </row>
    <row r="130" spans="1:19" x14ac:dyDescent="0.35">
      <c r="A130">
        <v>129</v>
      </c>
      <c r="B130">
        <v>1000</v>
      </c>
      <c r="C130">
        <v>16000</v>
      </c>
      <c r="D130">
        <v>16000</v>
      </c>
      <c r="E130">
        <v>2000</v>
      </c>
      <c r="F130" t="s">
        <v>158</v>
      </c>
      <c r="G130" t="s">
        <v>56</v>
      </c>
      <c r="H130" t="s">
        <v>41</v>
      </c>
      <c r="I130" t="s">
        <v>749</v>
      </c>
      <c r="J130" t="s">
        <v>730</v>
      </c>
      <c r="K130">
        <v>5</v>
      </c>
      <c r="L130">
        <v>4</v>
      </c>
      <c r="M130">
        <v>5</v>
      </c>
      <c r="N130" s="36">
        <v>45405.735717071759</v>
      </c>
      <c r="O130" s="36">
        <v>45405.735815868058</v>
      </c>
      <c r="P130" t="s">
        <v>731</v>
      </c>
      <c r="Q130">
        <v>0</v>
      </c>
      <c r="R130" t="s">
        <v>724</v>
      </c>
      <c r="S130">
        <v>0</v>
      </c>
    </row>
    <row r="131" spans="1:19" x14ac:dyDescent="0.35">
      <c r="A131">
        <v>130</v>
      </c>
      <c r="B131">
        <v>1001</v>
      </c>
      <c r="C131">
        <v>16000</v>
      </c>
      <c r="D131">
        <v>16001</v>
      </c>
      <c r="E131">
        <v>2000</v>
      </c>
      <c r="F131" t="s">
        <v>158</v>
      </c>
      <c r="G131" t="s">
        <v>56</v>
      </c>
      <c r="H131" t="s">
        <v>203</v>
      </c>
      <c r="I131" t="s">
        <v>750</v>
      </c>
      <c r="J131" t="s">
        <v>730</v>
      </c>
      <c r="K131">
        <v>4</v>
      </c>
      <c r="L131">
        <v>4</v>
      </c>
      <c r="M131">
        <v>5</v>
      </c>
      <c r="N131" s="36">
        <v>45405.735721030091</v>
      </c>
      <c r="O131" s="36">
        <v>45405.73581943287</v>
      </c>
      <c r="P131" t="s">
        <v>731</v>
      </c>
      <c r="Q131">
        <v>0</v>
      </c>
      <c r="R131" t="s">
        <v>724</v>
      </c>
      <c r="S131">
        <v>0</v>
      </c>
    </row>
    <row r="132" spans="1:19" x14ac:dyDescent="0.35">
      <c r="A132">
        <v>131</v>
      </c>
      <c r="B132">
        <v>1003</v>
      </c>
      <c r="C132">
        <v>16000</v>
      </c>
      <c r="D132">
        <v>16002</v>
      </c>
      <c r="E132">
        <v>2000</v>
      </c>
      <c r="F132" t="s">
        <v>158</v>
      </c>
      <c r="G132" t="s">
        <v>56</v>
      </c>
      <c r="H132" t="s">
        <v>204</v>
      </c>
      <c r="I132" t="s">
        <v>751</v>
      </c>
      <c r="J132" t="s">
        <v>730</v>
      </c>
      <c r="K132">
        <v>3</v>
      </c>
      <c r="L132">
        <v>4</v>
      </c>
      <c r="M132">
        <v>5</v>
      </c>
      <c r="N132" s="36">
        <v>45405.735724768521</v>
      </c>
      <c r="O132" s="36">
        <v>45405.735822835646</v>
      </c>
      <c r="P132" t="s">
        <v>731</v>
      </c>
      <c r="Q132">
        <v>0</v>
      </c>
      <c r="R132" t="s">
        <v>724</v>
      </c>
      <c r="S132">
        <v>0</v>
      </c>
    </row>
    <row r="133" spans="1:19" x14ac:dyDescent="0.35">
      <c r="A133">
        <v>132</v>
      </c>
      <c r="B133">
        <v>1000</v>
      </c>
      <c r="C133">
        <v>17000</v>
      </c>
      <c r="D133">
        <v>17005</v>
      </c>
      <c r="E133">
        <v>2000</v>
      </c>
      <c r="F133" t="s">
        <v>158</v>
      </c>
      <c r="G133" t="s">
        <v>57</v>
      </c>
      <c r="H133" t="s">
        <v>266</v>
      </c>
      <c r="I133" t="s">
        <v>752</v>
      </c>
      <c r="J133" t="s">
        <v>753</v>
      </c>
      <c r="K133">
        <v>1</v>
      </c>
      <c r="L133">
        <v>2</v>
      </c>
      <c r="M133">
        <v>5</v>
      </c>
      <c r="N133" s="36">
        <v>45405.735729432869</v>
      </c>
      <c r="O133" s="36">
        <v>45405.735827025463</v>
      </c>
      <c r="P133" t="s">
        <v>731</v>
      </c>
      <c r="Q133">
        <v>0</v>
      </c>
      <c r="R133" t="s">
        <v>724</v>
      </c>
      <c r="S133">
        <v>0</v>
      </c>
    </row>
    <row r="134" spans="1:19" x14ac:dyDescent="0.35">
      <c r="A134">
        <v>133</v>
      </c>
      <c r="B134">
        <v>1001</v>
      </c>
      <c r="C134">
        <v>17000</v>
      </c>
      <c r="D134">
        <v>17000</v>
      </c>
      <c r="E134">
        <v>2000</v>
      </c>
      <c r="F134" t="s">
        <v>158</v>
      </c>
      <c r="G134" t="s">
        <v>57</v>
      </c>
      <c r="H134" t="s">
        <v>41</v>
      </c>
      <c r="I134" t="s">
        <v>754</v>
      </c>
      <c r="J134" t="s">
        <v>753</v>
      </c>
      <c r="K134">
        <v>5</v>
      </c>
      <c r="L134">
        <v>2</v>
      </c>
      <c r="M134">
        <v>5</v>
      </c>
      <c r="N134" s="36">
        <v>45405.7357333912</v>
      </c>
      <c r="O134" s="36">
        <v>45405.735830497688</v>
      </c>
      <c r="P134" t="s">
        <v>731</v>
      </c>
      <c r="Q134">
        <v>0</v>
      </c>
      <c r="R134" t="s">
        <v>724</v>
      </c>
      <c r="S134">
        <v>0</v>
      </c>
    </row>
    <row r="135" spans="1:19" x14ac:dyDescent="0.35">
      <c r="A135">
        <v>134</v>
      </c>
      <c r="B135">
        <v>1003</v>
      </c>
      <c r="C135">
        <v>17000</v>
      </c>
      <c r="D135">
        <v>17003</v>
      </c>
      <c r="E135">
        <v>2000</v>
      </c>
      <c r="F135" t="s">
        <v>158</v>
      </c>
      <c r="G135" t="s">
        <v>57</v>
      </c>
      <c r="H135" t="s">
        <v>99</v>
      </c>
      <c r="I135" t="s">
        <v>755</v>
      </c>
      <c r="J135" t="s">
        <v>753</v>
      </c>
      <c r="K135">
        <v>2</v>
      </c>
      <c r="L135">
        <v>2</v>
      </c>
      <c r="M135">
        <v>5</v>
      </c>
      <c r="N135" s="36">
        <v>45405.735736770832</v>
      </c>
      <c r="O135" s="36">
        <v>45405.735834108797</v>
      </c>
      <c r="P135" t="s">
        <v>731</v>
      </c>
      <c r="Q135">
        <v>0</v>
      </c>
      <c r="R135" t="s">
        <v>724</v>
      </c>
      <c r="S135">
        <v>0</v>
      </c>
    </row>
    <row r="136" spans="1:19" x14ac:dyDescent="0.35">
      <c r="A136">
        <v>135</v>
      </c>
      <c r="B136">
        <v>1000</v>
      </c>
      <c r="C136">
        <v>18000</v>
      </c>
      <c r="D136">
        <v>18005</v>
      </c>
      <c r="E136">
        <v>2000</v>
      </c>
      <c r="F136" t="s">
        <v>158</v>
      </c>
      <c r="G136" t="s">
        <v>58</v>
      </c>
      <c r="H136" t="s">
        <v>266</v>
      </c>
      <c r="I136" t="s">
        <v>756</v>
      </c>
      <c r="J136" t="s">
        <v>757</v>
      </c>
      <c r="K136">
        <v>1</v>
      </c>
      <c r="L136">
        <v>3</v>
      </c>
      <c r="M136">
        <v>5</v>
      </c>
      <c r="N136" s="36">
        <v>45405.735740972224</v>
      </c>
      <c r="O136" s="36">
        <v>45405.735838564811</v>
      </c>
      <c r="P136" t="s">
        <v>731</v>
      </c>
      <c r="Q136">
        <v>0</v>
      </c>
      <c r="R136" t="s">
        <v>724</v>
      </c>
      <c r="S136">
        <v>0</v>
      </c>
    </row>
    <row r="137" spans="1:19" x14ac:dyDescent="0.35">
      <c r="A137">
        <v>136</v>
      </c>
      <c r="B137">
        <v>1001</v>
      </c>
      <c r="C137">
        <v>18000</v>
      </c>
      <c r="D137">
        <v>18006</v>
      </c>
      <c r="E137">
        <v>2000</v>
      </c>
      <c r="F137" t="s">
        <v>158</v>
      </c>
      <c r="G137" t="s">
        <v>58</v>
      </c>
      <c r="H137" t="s">
        <v>267</v>
      </c>
      <c r="I137" t="s">
        <v>758</v>
      </c>
      <c r="J137" t="s">
        <v>757</v>
      </c>
      <c r="K137">
        <v>3</v>
      </c>
      <c r="L137">
        <v>3</v>
      </c>
      <c r="M137">
        <v>5</v>
      </c>
      <c r="N137" s="36">
        <v>45405.735744120371</v>
      </c>
      <c r="O137" s="36">
        <v>45405.735841666668</v>
      </c>
      <c r="P137" t="s">
        <v>731</v>
      </c>
      <c r="Q137">
        <v>0</v>
      </c>
      <c r="R137" t="s">
        <v>724</v>
      </c>
      <c r="S137">
        <v>0</v>
      </c>
    </row>
    <row r="138" spans="1:19" x14ac:dyDescent="0.35">
      <c r="A138">
        <v>137</v>
      </c>
      <c r="B138">
        <v>1003</v>
      </c>
      <c r="C138">
        <v>18000</v>
      </c>
      <c r="D138">
        <v>18000</v>
      </c>
      <c r="E138">
        <v>2000</v>
      </c>
      <c r="F138" t="s">
        <v>158</v>
      </c>
      <c r="G138" t="s">
        <v>58</v>
      </c>
      <c r="H138" t="s">
        <v>41</v>
      </c>
      <c r="I138" t="s">
        <v>759</v>
      </c>
      <c r="J138" t="s">
        <v>757</v>
      </c>
      <c r="K138">
        <v>5</v>
      </c>
      <c r="L138">
        <v>3</v>
      </c>
      <c r="M138">
        <v>5</v>
      </c>
      <c r="N138" s="36">
        <v>45405.735747025465</v>
      </c>
      <c r="O138" s="36">
        <v>45405.735844918985</v>
      </c>
      <c r="P138" t="s">
        <v>731</v>
      </c>
      <c r="Q138">
        <v>0</v>
      </c>
      <c r="R138" t="s">
        <v>724</v>
      </c>
      <c r="S138">
        <v>0</v>
      </c>
    </row>
    <row r="139" spans="1:19" x14ac:dyDescent="0.35">
      <c r="A139">
        <v>138</v>
      </c>
      <c r="B139">
        <v>1000</v>
      </c>
      <c r="C139">
        <v>6000</v>
      </c>
      <c r="D139">
        <v>6001</v>
      </c>
      <c r="E139">
        <v>2000</v>
      </c>
      <c r="F139" t="s">
        <v>158</v>
      </c>
      <c r="G139" t="s">
        <v>165</v>
      </c>
      <c r="H139" t="s">
        <v>240</v>
      </c>
      <c r="I139" t="s">
        <v>733</v>
      </c>
      <c r="J139" t="s">
        <v>730</v>
      </c>
      <c r="K139">
        <v>3</v>
      </c>
      <c r="L139">
        <v>5</v>
      </c>
      <c r="M139">
        <v>5</v>
      </c>
      <c r="N139" s="36">
        <v>45405.735751284723</v>
      </c>
      <c r="O139" s="36">
        <v>45405.735751296299</v>
      </c>
      <c r="P139" t="s">
        <v>731</v>
      </c>
      <c r="Q139">
        <v>1</v>
      </c>
      <c r="R139" t="s">
        <v>732</v>
      </c>
      <c r="S139">
        <v>0</v>
      </c>
    </row>
    <row r="140" spans="1:19" x14ac:dyDescent="0.35">
      <c r="A140">
        <v>139</v>
      </c>
      <c r="B140">
        <v>1001</v>
      </c>
      <c r="C140">
        <v>6000</v>
      </c>
      <c r="D140">
        <v>6000</v>
      </c>
      <c r="E140">
        <v>2000</v>
      </c>
      <c r="F140" t="s">
        <v>158</v>
      </c>
      <c r="G140" t="s">
        <v>165</v>
      </c>
      <c r="H140" t="s">
        <v>239</v>
      </c>
      <c r="I140" t="s">
        <v>734</v>
      </c>
      <c r="J140" t="s">
        <v>730</v>
      </c>
      <c r="K140">
        <v>5</v>
      </c>
      <c r="L140">
        <v>5</v>
      </c>
      <c r="M140">
        <v>5</v>
      </c>
      <c r="N140" s="36">
        <v>45405.735754317131</v>
      </c>
      <c r="O140" s="36">
        <v>45405.735754317131</v>
      </c>
      <c r="P140" t="s">
        <v>731</v>
      </c>
      <c r="Q140">
        <v>1</v>
      </c>
      <c r="R140" t="s">
        <v>732</v>
      </c>
      <c r="S140">
        <v>0</v>
      </c>
    </row>
    <row r="141" spans="1:19" x14ac:dyDescent="0.35">
      <c r="A141">
        <v>140</v>
      </c>
      <c r="B141">
        <v>1003</v>
      </c>
      <c r="C141">
        <v>6000</v>
      </c>
      <c r="D141">
        <v>6001</v>
      </c>
      <c r="E141">
        <v>2000</v>
      </c>
      <c r="F141" t="s">
        <v>158</v>
      </c>
      <c r="G141" t="s">
        <v>165</v>
      </c>
      <c r="H141" t="s">
        <v>240</v>
      </c>
      <c r="I141" t="s">
        <v>729</v>
      </c>
      <c r="J141" t="s">
        <v>730</v>
      </c>
      <c r="K141">
        <v>3</v>
      </c>
      <c r="L141">
        <v>5</v>
      </c>
      <c r="M141">
        <v>5</v>
      </c>
      <c r="N141" s="36">
        <v>45405.735758402778</v>
      </c>
      <c r="O141" s="36">
        <v>45405.735758402778</v>
      </c>
      <c r="P141" t="s">
        <v>731</v>
      </c>
      <c r="Q141">
        <v>1</v>
      </c>
      <c r="R141" t="s">
        <v>732</v>
      </c>
      <c r="S141">
        <v>0</v>
      </c>
    </row>
    <row r="142" spans="1:19" x14ac:dyDescent="0.35">
      <c r="A142">
        <v>141</v>
      </c>
      <c r="B142">
        <v>1000</v>
      </c>
      <c r="C142">
        <v>15000</v>
      </c>
      <c r="D142">
        <v>15001</v>
      </c>
      <c r="E142">
        <v>2000</v>
      </c>
      <c r="F142" t="s">
        <v>158</v>
      </c>
      <c r="G142" t="s">
        <v>55</v>
      </c>
      <c r="H142" t="s">
        <v>246</v>
      </c>
      <c r="I142" t="s">
        <v>736</v>
      </c>
      <c r="J142" t="s">
        <v>730</v>
      </c>
      <c r="K142">
        <v>2</v>
      </c>
      <c r="L142">
        <v>3</v>
      </c>
      <c r="M142">
        <v>3</v>
      </c>
      <c r="N142" s="36">
        <v>45405.735763194447</v>
      </c>
      <c r="O142" s="36">
        <v>45405.735763194447</v>
      </c>
      <c r="P142" t="s">
        <v>731</v>
      </c>
      <c r="Q142">
        <v>1</v>
      </c>
      <c r="R142" t="s">
        <v>732</v>
      </c>
      <c r="S142">
        <v>0</v>
      </c>
    </row>
    <row r="143" spans="1:19" x14ac:dyDescent="0.35">
      <c r="A143">
        <v>142</v>
      </c>
      <c r="B143">
        <v>1001</v>
      </c>
      <c r="C143">
        <v>15000</v>
      </c>
      <c r="D143">
        <v>15000</v>
      </c>
      <c r="E143">
        <v>2000</v>
      </c>
      <c r="F143" t="s">
        <v>158</v>
      </c>
      <c r="G143" t="s">
        <v>55</v>
      </c>
      <c r="H143" t="s">
        <v>247</v>
      </c>
      <c r="I143" t="s">
        <v>737</v>
      </c>
      <c r="J143" t="s">
        <v>730</v>
      </c>
      <c r="K143">
        <v>3</v>
      </c>
      <c r="L143">
        <v>3</v>
      </c>
      <c r="M143">
        <v>3</v>
      </c>
      <c r="N143" s="36">
        <v>45405.735766805556</v>
      </c>
      <c r="O143" s="36">
        <v>45405.735766805556</v>
      </c>
      <c r="P143" t="s">
        <v>731</v>
      </c>
      <c r="Q143">
        <v>1</v>
      </c>
      <c r="R143" t="s">
        <v>732</v>
      </c>
      <c r="S143">
        <v>0</v>
      </c>
    </row>
    <row r="144" spans="1:19" x14ac:dyDescent="0.35">
      <c r="A144">
        <v>143</v>
      </c>
      <c r="B144">
        <v>1003</v>
      </c>
      <c r="C144">
        <v>15000</v>
      </c>
      <c r="D144">
        <v>15002</v>
      </c>
      <c r="E144">
        <v>2000</v>
      </c>
      <c r="F144" t="s">
        <v>158</v>
      </c>
      <c r="G144" t="s">
        <v>55</v>
      </c>
      <c r="H144" t="s">
        <v>248</v>
      </c>
      <c r="I144" t="s">
        <v>735</v>
      </c>
      <c r="J144" t="s">
        <v>730</v>
      </c>
      <c r="K144">
        <v>1</v>
      </c>
      <c r="L144">
        <v>3</v>
      </c>
      <c r="M144">
        <v>3</v>
      </c>
      <c r="N144" s="36">
        <v>45405.73577078704</v>
      </c>
      <c r="O144" s="36">
        <v>45405.73577078704</v>
      </c>
      <c r="P144" t="s">
        <v>731</v>
      </c>
      <c r="Q144">
        <v>1</v>
      </c>
      <c r="R144" t="s">
        <v>732</v>
      </c>
      <c r="S144">
        <v>0</v>
      </c>
    </row>
    <row r="145" spans="1:19" x14ac:dyDescent="0.35">
      <c r="A145">
        <v>144</v>
      </c>
      <c r="B145">
        <v>1000</v>
      </c>
      <c r="C145">
        <v>1000</v>
      </c>
      <c r="D145">
        <v>1000</v>
      </c>
      <c r="E145">
        <v>2000</v>
      </c>
      <c r="F145" t="s">
        <v>158</v>
      </c>
      <c r="G145" t="s">
        <v>163</v>
      </c>
      <c r="H145" t="s">
        <v>179</v>
      </c>
      <c r="I145" t="s">
        <v>761</v>
      </c>
      <c r="J145" t="s">
        <v>730</v>
      </c>
      <c r="K145">
        <v>2</v>
      </c>
      <c r="L145">
        <v>2</v>
      </c>
      <c r="M145">
        <v>3</v>
      </c>
      <c r="N145" s="36">
        <v>45405.73577472222</v>
      </c>
      <c r="O145" s="36">
        <v>45405.73577472222</v>
      </c>
      <c r="P145" t="s">
        <v>731</v>
      </c>
      <c r="Q145">
        <v>1</v>
      </c>
      <c r="R145" t="s">
        <v>732</v>
      </c>
      <c r="S145">
        <v>0</v>
      </c>
    </row>
    <row r="146" spans="1:19" x14ac:dyDescent="0.35">
      <c r="A146">
        <v>145</v>
      </c>
      <c r="B146">
        <v>1001</v>
      </c>
      <c r="C146">
        <v>1000</v>
      </c>
      <c r="D146">
        <v>1001</v>
      </c>
      <c r="E146">
        <v>2000</v>
      </c>
      <c r="F146" t="s">
        <v>158</v>
      </c>
      <c r="G146" t="s">
        <v>163</v>
      </c>
      <c r="H146" t="s">
        <v>180</v>
      </c>
      <c r="I146" t="s">
        <v>762</v>
      </c>
      <c r="J146" t="s">
        <v>730</v>
      </c>
      <c r="K146">
        <v>3</v>
      </c>
      <c r="L146">
        <v>2</v>
      </c>
      <c r="M146">
        <v>3</v>
      </c>
      <c r="N146" s="36">
        <v>45405.73577796296</v>
      </c>
      <c r="O146" s="36">
        <v>45405.73577796296</v>
      </c>
      <c r="P146" t="s">
        <v>731</v>
      </c>
      <c r="Q146">
        <v>1</v>
      </c>
      <c r="R146" t="s">
        <v>732</v>
      </c>
      <c r="S146">
        <v>0</v>
      </c>
    </row>
    <row r="147" spans="1:19" x14ac:dyDescent="0.35">
      <c r="A147">
        <v>146</v>
      </c>
      <c r="B147">
        <v>1003</v>
      </c>
      <c r="C147">
        <v>1000</v>
      </c>
      <c r="D147">
        <v>1002</v>
      </c>
      <c r="E147">
        <v>2000</v>
      </c>
      <c r="F147" t="s">
        <v>158</v>
      </c>
      <c r="G147" t="s">
        <v>163</v>
      </c>
      <c r="H147" t="s">
        <v>718</v>
      </c>
      <c r="I147" t="s">
        <v>763</v>
      </c>
      <c r="J147" t="s">
        <v>730</v>
      </c>
      <c r="K147">
        <v>2</v>
      </c>
      <c r="L147">
        <v>2</v>
      </c>
      <c r="M147">
        <v>3</v>
      </c>
      <c r="N147" s="36">
        <v>45405.735781053241</v>
      </c>
      <c r="O147" s="36">
        <v>45405.735781053241</v>
      </c>
      <c r="P147" t="s">
        <v>731</v>
      </c>
      <c r="Q147">
        <v>1</v>
      </c>
      <c r="R147" t="s">
        <v>732</v>
      </c>
      <c r="S147">
        <v>0</v>
      </c>
    </row>
    <row r="148" spans="1:19" x14ac:dyDescent="0.35">
      <c r="A148">
        <v>147</v>
      </c>
      <c r="B148">
        <v>1000</v>
      </c>
      <c r="C148">
        <v>3000</v>
      </c>
      <c r="D148">
        <v>3003</v>
      </c>
      <c r="E148">
        <v>2000</v>
      </c>
      <c r="F148" t="s">
        <v>158</v>
      </c>
      <c r="G148" t="s">
        <v>164</v>
      </c>
      <c r="H148" t="s">
        <v>234</v>
      </c>
      <c r="I148" t="s">
        <v>742</v>
      </c>
      <c r="J148" t="s">
        <v>730</v>
      </c>
      <c r="K148">
        <v>1</v>
      </c>
      <c r="L148">
        <v>1</v>
      </c>
      <c r="M148">
        <v>4</v>
      </c>
      <c r="N148" s="36">
        <v>45405.7357849537</v>
      </c>
      <c r="O148" s="36">
        <v>45405.7357849537</v>
      </c>
      <c r="P148" t="s">
        <v>731</v>
      </c>
      <c r="Q148">
        <v>1</v>
      </c>
      <c r="R148" t="s">
        <v>732</v>
      </c>
      <c r="S148">
        <v>0</v>
      </c>
    </row>
    <row r="149" spans="1:19" x14ac:dyDescent="0.35">
      <c r="A149">
        <v>148</v>
      </c>
      <c r="B149">
        <v>1001</v>
      </c>
      <c r="C149">
        <v>3000</v>
      </c>
      <c r="D149">
        <v>3001</v>
      </c>
      <c r="E149">
        <v>2000</v>
      </c>
      <c r="F149" t="s">
        <v>158</v>
      </c>
      <c r="G149" t="s">
        <v>164</v>
      </c>
      <c r="H149" t="s">
        <v>232</v>
      </c>
      <c r="I149" t="s">
        <v>743</v>
      </c>
      <c r="J149" t="s">
        <v>730</v>
      </c>
      <c r="K149">
        <v>3</v>
      </c>
      <c r="L149">
        <v>1</v>
      </c>
      <c r="M149">
        <v>4</v>
      </c>
      <c r="N149" s="36">
        <v>45405.735787916667</v>
      </c>
      <c r="O149" s="36">
        <v>45405.735787916667</v>
      </c>
      <c r="P149" t="s">
        <v>731</v>
      </c>
      <c r="Q149">
        <v>1</v>
      </c>
      <c r="R149" t="s">
        <v>732</v>
      </c>
      <c r="S149">
        <v>0</v>
      </c>
    </row>
    <row r="150" spans="1:19" x14ac:dyDescent="0.35">
      <c r="A150">
        <v>149</v>
      </c>
      <c r="B150">
        <v>1003</v>
      </c>
      <c r="C150">
        <v>3000</v>
      </c>
      <c r="D150">
        <v>3002</v>
      </c>
      <c r="E150">
        <v>2000</v>
      </c>
      <c r="F150" t="s">
        <v>158</v>
      </c>
      <c r="G150" t="s">
        <v>164</v>
      </c>
      <c r="H150" t="s">
        <v>233</v>
      </c>
      <c r="I150" t="s">
        <v>741</v>
      </c>
      <c r="J150" t="s">
        <v>730</v>
      </c>
      <c r="K150">
        <v>2</v>
      </c>
      <c r="L150">
        <v>1</v>
      </c>
      <c r="M150">
        <v>4</v>
      </c>
      <c r="N150" s="36">
        <v>45405.735791620369</v>
      </c>
      <c r="O150" s="36">
        <v>45405.735791620369</v>
      </c>
      <c r="P150" t="s">
        <v>731</v>
      </c>
      <c r="Q150">
        <v>1</v>
      </c>
      <c r="R150" t="s">
        <v>732</v>
      </c>
      <c r="S150">
        <v>0</v>
      </c>
    </row>
    <row r="151" spans="1:19" x14ac:dyDescent="0.35">
      <c r="A151">
        <v>150</v>
      </c>
      <c r="B151">
        <v>1000</v>
      </c>
      <c r="C151">
        <v>7000</v>
      </c>
      <c r="D151">
        <v>7001</v>
      </c>
      <c r="E151">
        <v>2000</v>
      </c>
      <c r="F151" t="s">
        <v>158</v>
      </c>
      <c r="G151" t="s">
        <v>166</v>
      </c>
      <c r="H151" t="s">
        <v>243</v>
      </c>
      <c r="I151" t="s">
        <v>745</v>
      </c>
      <c r="J151" t="s">
        <v>730</v>
      </c>
      <c r="K151">
        <v>2</v>
      </c>
      <c r="L151">
        <v>2</v>
      </c>
      <c r="M151">
        <v>4</v>
      </c>
      <c r="N151" s="36">
        <v>45405.735796354165</v>
      </c>
      <c r="O151" s="36">
        <v>45405.735796354165</v>
      </c>
      <c r="P151" t="s">
        <v>731</v>
      </c>
      <c r="Q151">
        <v>1</v>
      </c>
      <c r="R151" t="s">
        <v>732</v>
      </c>
      <c r="S151">
        <v>0</v>
      </c>
    </row>
    <row r="152" spans="1:19" x14ac:dyDescent="0.35">
      <c r="A152">
        <v>151</v>
      </c>
      <c r="B152">
        <v>1001</v>
      </c>
      <c r="C152">
        <v>7000</v>
      </c>
      <c r="D152">
        <v>7002</v>
      </c>
      <c r="E152">
        <v>2000</v>
      </c>
      <c r="F152" t="s">
        <v>158</v>
      </c>
      <c r="G152" t="s">
        <v>166</v>
      </c>
      <c r="H152" t="s">
        <v>249</v>
      </c>
      <c r="I152" t="s">
        <v>729</v>
      </c>
      <c r="J152" t="s">
        <v>730</v>
      </c>
      <c r="K152">
        <v>0</v>
      </c>
      <c r="L152">
        <v>2</v>
      </c>
      <c r="M152">
        <v>4</v>
      </c>
      <c r="N152" s="36">
        <v>45405.735799571761</v>
      </c>
      <c r="O152" s="36">
        <v>45405.735799571761</v>
      </c>
      <c r="P152" t="s">
        <v>731</v>
      </c>
      <c r="Q152">
        <v>1</v>
      </c>
      <c r="R152" t="s">
        <v>732</v>
      </c>
      <c r="S152">
        <v>0</v>
      </c>
    </row>
    <row r="153" spans="1:19" x14ac:dyDescent="0.35">
      <c r="A153">
        <v>152</v>
      </c>
      <c r="B153">
        <v>1003</v>
      </c>
      <c r="C153">
        <v>7000</v>
      </c>
      <c r="D153">
        <v>7001</v>
      </c>
      <c r="E153">
        <v>2000</v>
      </c>
      <c r="F153" t="s">
        <v>158</v>
      </c>
      <c r="G153" t="s">
        <v>166</v>
      </c>
      <c r="H153" t="s">
        <v>243</v>
      </c>
      <c r="I153" t="s">
        <v>744</v>
      </c>
      <c r="J153" t="s">
        <v>730</v>
      </c>
      <c r="K153">
        <v>2</v>
      </c>
      <c r="L153">
        <v>2</v>
      </c>
      <c r="M153">
        <v>4</v>
      </c>
      <c r="N153" s="36">
        <v>45405.735802673611</v>
      </c>
      <c r="O153" s="36">
        <v>45405.735802673611</v>
      </c>
      <c r="P153" t="s">
        <v>731</v>
      </c>
      <c r="Q153">
        <v>1</v>
      </c>
      <c r="R153" t="s">
        <v>732</v>
      </c>
      <c r="S153">
        <v>0</v>
      </c>
    </row>
    <row r="154" spans="1:19" x14ac:dyDescent="0.35">
      <c r="A154">
        <v>153</v>
      </c>
      <c r="B154">
        <v>1000</v>
      </c>
      <c r="C154">
        <v>2000</v>
      </c>
      <c r="D154">
        <v>2000</v>
      </c>
      <c r="E154">
        <v>2000</v>
      </c>
      <c r="F154" t="s">
        <v>158</v>
      </c>
      <c r="G154" t="s">
        <v>193</v>
      </c>
      <c r="H154" t="s">
        <v>48</v>
      </c>
      <c r="I154" t="s">
        <v>764</v>
      </c>
      <c r="J154" t="s">
        <v>730</v>
      </c>
      <c r="K154">
        <v>4</v>
      </c>
      <c r="L154">
        <v>2</v>
      </c>
      <c r="M154">
        <v>4</v>
      </c>
      <c r="N154" s="36">
        <v>45405.735806724537</v>
      </c>
      <c r="O154" s="36">
        <v>45405.735806724537</v>
      </c>
      <c r="P154" t="s">
        <v>731</v>
      </c>
      <c r="Q154">
        <v>1</v>
      </c>
      <c r="R154" t="s">
        <v>732</v>
      </c>
      <c r="S154">
        <v>0</v>
      </c>
    </row>
    <row r="155" spans="1:19" x14ac:dyDescent="0.35">
      <c r="A155">
        <v>154</v>
      </c>
      <c r="B155">
        <v>1001</v>
      </c>
      <c r="C155">
        <v>2000</v>
      </c>
      <c r="D155">
        <v>2000</v>
      </c>
      <c r="E155">
        <v>2000</v>
      </c>
      <c r="F155" t="s">
        <v>158</v>
      </c>
      <c r="G155" t="s">
        <v>193</v>
      </c>
      <c r="H155" t="s">
        <v>48</v>
      </c>
      <c r="I155" t="s">
        <v>765</v>
      </c>
      <c r="J155" t="s">
        <v>730</v>
      </c>
      <c r="K155">
        <v>4</v>
      </c>
      <c r="L155">
        <v>2</v>
      </c>
      <c r="M155">
        <v>4</v>
      </c>
      <c r="N155" s="36">
        <v>45405.735809606478</v>
      </c>
      <c r="O155" s="36">
        <v>45405.735809606478</v>
      </c>
      <c r="P155" t="s">
        <v>731</v>
      </c>
      <c r="Q155">
        <v>1</v>
      </c>
      <c r="R155" t="s">
        <v>732</v>
      </c>
      <c r="S155">
        <v>0</v>
      </c>
    </row>
    <row r="156" spans="1:19" x14ac:dyDescent="0.35">
      <c r="A156">
        <v>155</v>
      </c>
      <c r="B156">
        <v>1003</v>
      </c>
      <c r="C156">
        <v>2000</v>
      </c>
      <c r="D156">
        <v>2002</v>
      </c>
      <c r="E156">
        <v>2000</v>
      </c>
      <c r="F156" t="s">
        <v>158</v>
      </c>
      <c r="G156" t="s">
        <v>193</v>
      </c>
      <c r="H156" t="s">
        <v>191</v>
      </c>
      <c r="I156" t="s">
        <v>766</v>
      </c>
      <c r="J156" t="s">
        <v>730</v>
      </c>
      <c r="K156">
        <v>2</v>
      </c>
      <c r="L156">
        <v>2</v>
      </c>
      <c r="M156">
        <v>4</v>
      </c>
      <c r="N156" s="36">
        <v>45405.735812962965</v>
      </c>
      <c r="O156" s="36">
        <v>45405.735812962965</v>
      </c>
      <c r="P156" t="s">
        <v>731</v>
      </c>
      <c r="Q156">
        <v>1</v>
      </c>
      <c r="R156" t="s">
        <v>732</v>
      </c>
      <c r="S156">
        <v>0</v>
      </c>
    </row>
    <row r="157" spans="1:19" x14ac:dyDescent="0.35">
      <c r="A157">
        <v>156</v>
      </c>
      <c r="B157">
        <v>1000</v>
      </c>
      <c r="C157">
        <v>16000</v>
      </c>
      <c r="D157">
        <v>16000</v>
      </c>
      <c r="E157">
        <v>2000</v>
      </c>
      <c r="F157" t="s">
        <v>158</v>
      </c>
      <c r="G157" t="s">
        <v>56</v>
      </c>
      <c r="H157" t="s">
        <v>41</v>
      </c>
      <c r="I157" t="s">
        <v>749</v>
      </c>
      <c r="J157" t="s">
        <v>730</v>
      </c>
      <c r="K157">
        <v>5</v>
      </c>
      <c r="L157">
        <v>4</v>
      </c>
      <c r="M157">
        <v>5</v>
      </c>
      <c r="N157" s="36">
        <v>45405.735816944441</v>
      </c>
      <c r="O157" s="36">
        <v>45405.735816944441</v>
      </c>
      <c r="P157" t="s">
        <v>731</v>
      </c>
      <c r="Q157">
        <v>1</v>
      </c>
      <c r="R157" t="s">
        <v>732</v>
      </c>
      <c r="S157">
        <v>0</v>
      </c>
    </row>
    <row r="158" spans="1:19" x14ac:dyDescent="0.35">
      <c r="A158">
        <v>157</v>
      </c>
      <c r="B158">
        <v>1001</v>
      </c>
      <c r="C158">
        <v>16000</v>
      </c>
      <c r="D158">
        <v>16001</v>
      </c>
      <c r="E158">
        <v>2000</v>
      </c>
      <c r="F158" t="s">
        <v>158</v>
      </c>
      <c r="G158" t="s">
        <v>56</v>
      </c>
      <c r="H158" t="s">
        <v>203</v>
      </c>
      <c r="I158" t="s">
        <v>742</v>
      </c>
      <c r="J158" t="s">
        <v>730</v>
      </c>
      <c r="K158">
        <v>4</v>
      </c>
      <c r="L158">
        <v>4</v>
      </c>
      <c r="M158">
        <v>5</v>
      </c>
      <c r="N158" s="36">
        <v>45405.735820601854</v>
      </c>
      <c r="O158" s="36">
        <v>45405.735820601854</v>
      </c>
      <c r="P158" t="s">
        <v>731</v>
      </c>
      <c r="Q158">
        <v>1</v>
      </c>
      <c r="R158" t="s">
        <v>732</v>
      </c>
      <c r="S158">
        <v>0</v>
      </c>
    </row>
    <row r="159" spans="1:19" x14ac:dyDescent="0.35">
      <c r="A159">
        <v>158</v>
      </c>
      <c r="B159">
        <v>1003</v>
      </c>
      <c r="C159">
        <v>16000</v>
      </c>
      <c r="D159">
        <v>16001</v>
      </c>
      <c r="E159">
        <v>2000</v>
      </c>
      <c r="F159" t="s">
        <v>158</v>
      </c>
      <c r="G159" t="s">
        <v>56</v>
      </c>
      <c r="H159" t="s">
        <v>203</v>
      </c>
      <c r="I159" t="s">
        <v>743</v>
      </c>
      <c r="J159" t="s">
        <v>730</v>
      </c>
      <c r="K159">
        <v>4</v>
      </c>
      <c r="L159">
        <v>4</v>
      </c>
      <c r="M159">
        <v>5</v>
      </c>
      <c r="N159" s="36">
        <v>45405.735824004631</v>
      </c>
      <c r="O159" s="36">
        <v>45405.735824004631</v>
      </c>
      <c r="P159" t="s">
        <v>731</v>
      </c>
      <c r="Q159">
        <v>1</v>
      </c>
      <c r="R159" t="s">
        <v>732</v>
      </c>
      <c r="S159">
        <v>0</v>
      </c>
    </row>
    <row r="160" spans="1:19" x14ac:dyDescent="0.35">
      <c r="A160">
        <v>159</v>
      </c>
      <c r="B160">
        <v>1000</v>
      </c>
      <c r="C160">
        <v>17000</v>
      </c>
      <c r="D160">
        <v>17000</v>
      </c>
      <c r="E160">
        <v>2000</v>
      </c>
      <c r="F160" t="s">
        <v>158</v>
      </c>
      <c r="G160" t="s">
        <v>57</v>
      </c>
      <c r="H160" t="s">
        <v>41</v>
      </c>
      <c r="I160" t="s">
        <v>767</v>
      </c>
      <c r="J160" t="s">
        <v>753</v>
      </c>
      <c r="K160">
        <v>5</v>
      </c>
      <c r="L160">
        <v>2</v>
      </c>
      <c r="M160">
        <v>5</v>
      </c>
      <c r="N160" s="36">
        <v>45405.735828194447</v>
      </c>
      <c r="O160" s="36">
        <v>45405.735828194447</v>
      </c>
      <c r="P160" t="s">
        <v>731</v>
      </c>
      <c r="Q160">
        <v>1</v>
      </c>
      <c r="R160" t="s">
        <v>732</v>
      </c>
      <c r="S160">
        <v>0</v>
      </c>
    </row>
    <row r="161" spans="1:19" x14ac:dyDescent="0.35">
      <c r="A161">
        <v>160</v>
      </c>
      <c r="B161">
        <v>1001</v>
      </c>
      <c r="C161">
        <v>17000</v>
      </c>
      <c r="D161">
        <v>17002</v>
      </c>
      <c r="E161">
        <v>2000</v>
      </c>
      <c r="F161" t="s">
        <v>158</v>
      </c>
      <c r="G161" t="s">
        <v>57</v>
      </c>
      <c r="H161" t="s">
        <v>98</v>
      </c>
      <c r="I161" t="s">
        <v>768</v>
      </c>
      <c r="J161" t="s">
        <v>753</v>
      </c>
      <c r="K161">
        <v>3</v>
      </c>
      <c r="L161">
        <v>2</v>
      </c>
      <c r="M161">
        <v>5</v>
      </c>
      <c r="N161" s="36">
        <v>45405.735831874998</v>
      </c>
      <c r="O161" s="36">
        <v>45405.735831874998</v>
      </c>
      <c r="P161" t="s">
        <v>731</v>
      </c>
      <c r="Q161">
        <v>1</v>
      </c>
      <c r="R161" t="s">
        <v>732</v>
      </c>
      <c r="S161">
        <v>0</v>
      </c>
    </row>
    <row r="162" spans="1:19" x14ac:dyDescent="0.35">
      <c r="A162">
        <v>161</v>
      </c>
      <c r="B162">
        <v>1003</v>
      </c>
      <c r="C162">
        <v>17000</v>
      </c>
      <c r="D162">
        <v>17003</v>
      </c>
      <c r="E162">
        <v>2000</v>
      </c>
      <c r="F162" t="s">
        <v>158</v>
      </c>
      <c r="G162" t="s">
        <v>57</v>
      </c>
      <c r="H162" t="s">
        <v>99</v>
      </c>
      <c r="I162" t="s">
        <v>769</v>
      </c>
      <c r="J162" t="s">
        <v>753</v>
      </c>
      <c r="K162">
        <v>2</v>
      </c>
      <c r="L162">
        <v>2</v>
      </c>
      <c r="M162">
        <v>5</v>
      </c>
      <c r="N162" s="36">
        <v>45405.735835231484</v>
      </c>
      <c r="O162" s="36">
        <v>45405.735835231484</v>
      </c>
      <c r="P162" t="s">
        <v>731</v>
      </c>
      <c r="Q162">
        <v>1</v>
      </c>
      <c r="R162" t="s">
        <v>732</v>
      </c>
      <c r="S162">
        <v>0</v>
      </c>
    </row>
    <row r="163" spans="1:19" x14ac:dyDescent="0.35">
      <c r="A163">
        <v>162</v>
      </c>
      <c r="B163">
        <v>1000</v>
      </c>
      <c r="C163">
        <v>18000</v>
      </c>
      <c r="D163">
        <v>18006</v>
      </c>
      <c r="E163">
        <v>2000</v>
      </c>
      <c r="F163" t="s">
        <v>158</v>
      </c>
      <c r="G163" t="s">
        <v>58</v>
      </c>
      <c r="H163" t="s">
        <v>267</v>
      </c>
      <c r="I163" t="s">
        <v>770</v>
      </c>
      <c r="J163" t="s">
        <v>757</v>
      </c>
      <c r="K163">
        <v>3</v>
      </c>
      <c r="L163">
        <v>3</v>
      </c>
      <c r="M163">
        <v>5</v>
      </c>
      <c r="N163" s="36">
        <v>45405.735839687499</v>
      </c>
      <c r="O163" s="36">
        <v>45405.735839687499</v>
      </c>
      <c r="P163" t="s">
        <v>731</v>
      </c>
      <c r="Q163">
        <v>1</v>
      </c>
      <c r="R163" t="s">
        <v>732</v>
      </c>
      <c r="S163">
        <v>0</v>
      </c>
    </row>
    <row r="164" spans="1:19" x14ac:dyDescent="0.35">
      <c r="A164">
        <v>163</v>
      </c>
      <c r="B164">
        <v>1001</v>
      </c>
      <c r="C164">
        <v>18000</v>
      </c>
      <c r="D164">
        <v>18000</v>
      </c>
      <c r="E164">
        <v>2000</v>
      </c>
      <c r="F164" t="s">
        <v>158</v>
      </c>
      <c r="G164" t="s">
        <v>58</v>
      </c>
      <c r="H164" t="s">
        <v>41</v>
      </c>
      <c r="I164" t="s">
        <v>771</v>
      </c>
      <c r="J164" t="s">
        <v>757</v>
      </c>
      <c r="K164">
        <v>5</v>
      </c>
      <c r="L164">
        <v>3</v>
      </c>
      <c r="M164">
        <v>5</v>
      </c>
      <c r="N164" s="36">
        <v>45405.735842662034</v>
      </c>
      <c r="O164" s="36">
        <v>45405.735842662034</v>
      </c>
      <c r="P164" t="s">
        <v>731</v>
      </c>
      <c r="Q164">
        <v>1</v>
      </c>
      <c r="R164" t="s">
        <v>732</v>
      </c>
      <c r="S164">
        <v>0</v>
      </c>
    </row>
    <row r="165" spans="1:19" x14ac:dyDescent="0.35">
      <c r="A165">
        <v>164</v>
      </c>
      <c r="B165">
        <v>1003</v>
      </c>
      <c r="C165">
        <v>18000</v>
      </c>
      <c r="D165">
        <v>18000</v>
      </c>
      <c r="E165">
        <v>2000</v>
      </c>
      <c r="F165" t="s">
        <v>158</v>
      </c>
      <c r="G165" t="s">
        <v>58</v>
      </c>
      <c r="H165" t="s">
        <v>41</v>
      </c>
      <c r="I165" t="s">
        <v>772</v>
      </c>
      <c r="J165" t="s">
        <v>757</v>
      </c>
      <c r="K165">
        <v>5</v>
      </c>
      <c r="L165">
        <v>3</v>
      </c>
      <c r="M165">
        <v>5</v>
      </c>
      <c r="N165" s="36">
        <v>45405.735845891206</v>
      </c>
      <c r="O165" s="36">
        <v>45405.735845891206</v>
      </c>
      <c r="P165" t="s">
        <v>731</v>
      </c>
      <c r="Q165">
        <v>1</v>
      </c>
      <c r="R165" t="s">
        <v>732</v>
      </c>
      <c r="S165">
        <v>0</v>
      </c>
    </row>
    <row r="166" spans="1:19" x14ac:dyDescent="0.35">
      <c r="A166">
        <v>165</v>
      </c>
      <c r="B166">
        <v>1000</v>
      </c>
      <c r="C166">
        <v>100</v>
      </c>
      <c r="D166">
        <v>101</v>
      </c>
      <c r="E166">
        <v>1000</v>
      </c>
      <c r="F166" t="s">
        <v>158</v>
      </c>
      <c r="G166" t="s">
        <v>171</v>
      </c>
      <c r="H166" t="s">
        <v>176</v>
      </c>
      <c r="I166" t="s">
        <v>176</v>
      </c>
      <c r="J166" t="s">
        <v>722</v>
      </c>
      <c r="K166">
        <v>1</v>
      </c>
      <c r="L166">
        <v>0</v>
      </c>
      <c r="M166">
        <v>2</v>
      </c>
      <c r="N166" s="36">
        <v>45405.735850740741</v>
      </c>
      <c r="O166" s="36">
        <v>45405.735850740741</v>
      </c>
      <c r="P166" t="s">
        <v>723</v>
      </c>
      <c r="Q166">
        <v>1</v>
      </c>
      <c r="R166" t="s">
        <v>724</v>
      </c>
      <c r="S166">
        <v>0</v>
      </c>
    </row>
    <row r="167" spans="1:19" x14ac:dyDescent="0.35">
      <c r="A167">
        <v>166</v>
      </c>
      <c r="B167">
        <v>1000</v>
      </c>
      <c r="C167">
        <v>200</v>
      </c>
      <c r="D167">
        <v>204</v>
      </c>
      <c r="E167">
        <v>1000</v>
      </c>
      <c r="F167" t="s">
        <v>158</v>
      </c>
      <c r="G167" t="s">
        <v>172</v>
      </c>
      <c r="H167" t="s">
        <v>210</v>
      </c>
      <c r="I167" t="s">
        <v>725</v>
      </c>
      <c r="J167" t="s">
        <v>726</v>
      </c>
      <c r="K167">
        <v>4</v>
      </c>
      <c r="L167">
        <v>1</v>
      </c>
      <c r="M167">
        <v>8</v>
      </c>
      <c r="N167" s="36">
        <v>45405.73585178241</v>
      </c>
      <c r="O167" s="36">
        <v>45405.73585178241</v>
      </c>
      <c r="P167" t="s">
        <v>723</v>
      </c>
      <c r="Q167">
        <v>1</v>
      </c>
      <c r="R167" t="s">
        <v>724</v>
      </c>
      <c r="S167">
        <v>0</v>
      </c>
    </row>
    <row r="168" spans="1:19" x14ac:dyDescent="0.35">
      <c r="A168">
        <v>167</v>
      </c>
      <c r="B168">
        <v>1001</v>
      </c>
      <c r="C168">
        <v>100</v>
      </c>
      <c r="D168">
        <v>100</v>
      </c>
      <c r="E168">
        <v>1000</v>
      </c>
      <c r="F168" t="s">
        <v>158</v>
      </c>
      <c r="G168" t="s">
        <v>171</v>
      </c>
      <c r="H168" t="s">
        <v>175</v>
      </c>
      <c r="I168" t="s">
        <v>175</v>
      </c>
      <c r="J168" t="s">
        <v>722</v>
      </c>
      <c r="K168">
        <v>2</v>
      </c>
      <c r="L168">
        <v>0</v>
      </c>
      <c r="M168">
        <v>2</v>
      </c>
      <c r="N168" s="36">
        <v>45405.735852905091</v>
      </c>
      <c r="O168" s="36">
        <v>45405.735852905091</v>
      </c>
      <c r="P168" t="s">
        <v>723</v>
      </c>
      <c r="Q168">
        <v>1</v>
      </c>
      <c r="R168" t="s">
        <v>724</v>
      </c>
      <c r="S168">
        <v>0</v>
      </c>
    </row>
    <row r="169" spans="1:19" x14ac:dyDescent="0.35">
      <c r="A169">
        <v>168</v>
      </c>
      <c r="B169">
        <v>1001</v>
      </c>
      <c r="C169">
        <v>200</v>
      </c>
      <c r="D169">
        <v>204</v>
      </c>
      <c r="E169">
        <v>1000</v>
      </c>
      <c r="F169" t="s">
        <v>158</v>
      </c>
      <c r="G169" t="s">
        <v>172</v>
      </c>
      <c r="H169" t="s">
        <v>210</v>
      </c>
      <c r="I169" t="s">
        <v>727</v>
      </c>
      <c r="J169" t="s">
        <v>726</v>
      </c>
      <c r="K169">
        <v>4</v>
      </c>
      <c r="L169">
        <v>1</v>
      </c>
      <c r="M169">
        <v>8</v>
      </c>
      <c r="N169" s="36">
        <v>45405.735853831022</v>
      </c>
      <c r="O169" s="36">
        <v>45405.735853831022</v>
      </c>
      <c r="P169" t="s">
        <v>723</v>
      </c>
      <c r="Q169">
        <v>1</v>
      </c>
      <c r="R169" t="s">
        <v>724</v>
      </c>
      <c r="S169">
        <v>0</v>
      </c>
    </row>
    <row r="170" spans="1:19" x14ac:dyDescent="0.35">
      <c r="A170">
        <v>169</v>
      </c>
      <c r="B170">
        <v>1003</v>
      </c>
      <c r="C170">
        <v>100</v>
      </c>
      <c r="D170">
        <v>100</v>
      </c>
      <c r="E170">
        <v>1000</v>
      </c>
      <c r="F170" t="s">
        <v>158</v>
      </c>
      <c r="G170" t="s">
        <v>171</v>
      </c>
      <c r="H170" t="s">
        <v>175</v>
      </c>
      <c r="I170" t="s">
        <v>175</v>
      </c>
      <c r="J170" t="s">
        <v>722</v>
      </c>
      <c r="K170">
        <v>2</v>
      </c>
      <c r="L170">
        <v>0</v>
      </c>
      <c r="M170">
        <v>2</v>
      </c>
      <c r="N170" s="36">
        <v>45405.735854907405</v>
      </c>
      <c r="O170" s="36">
        <v>45405.735854907405</v>
      </c>
      <c r="P170" t="s">
        <v>723</v>
      </c>
      <c r="Q170">
        <v>1</v>
      </c>
      <c r="R170" t="s">
        <v>724</v>
      </c>
      <c r="S170">
        <v>0</v>
      </c>
    </row>
    <row r="171" spans="1:19" x14ac:dyDescent="0.35">
      <c r="A171">
        <v>170</v>
      </c>
      <c r="B171">
        <v>1003</v>
      </c>
      <c r="C171">
        <v>200</v>
      </c>
      <c r="D171">
        <v>202</v>
      </c>
      <c r="E171">
        <v>1000</v>
      </c>
      <c r="F171" t="s">
        <v>158</v>
      </c>
      <c r="G171" t="s">
        <v>172</v>
      </c>
      <c r="H171" t="s">
        <v>208</v>
      </c>
      <c r="I171" t="s">
        <v>728</v>
      </c>
      <c r="J171" t="s">
        <v>726</v>
      </c>
      <c r="K171">
        <v>6</v>
      </c>
      <c r="L171">
        <v>1</v>
      </c>
      <c r="M171">
        <v>8</v>
      </c>
      <c r="N171" s="36">
        <v>45405.735855949075</v>
      </c>
      <c r="O171" s="36">
        <v>45405.735855949075</v>
      </c>
      <c r="P171" t="s">
        <v>723</v>
      </c>
      <c r="Q171">
        <v>1</v>
      </c>
      <c r="R171" t="s">
        <v>724</v>
      </c>
      <c r="S171">
        <v>0</v>
      </c>
    </row>
    <row r="172" spans="1:19" x14ac:dyDescent="0.35">
      <c r="A172">
        <v>171</v>
      </c>
      <c r="B172">
        <v>1000</v>
      </c>
      <c r="C172">
        <v>4000</v>
      </c>
      <c r="D172">
        <v>4001</v>
      </c>
      <c r="E172">
        <v>3000</v>
      </c>
      <c r="F172" t="s">
        <v>158</v>
      </c>
      <c r="G172" t="s">
        <v>184</v>
      </c>
      <c r="H172" t="s">
        <v>75</v>
      </c>
      <c r="I172" t="s">
        <v>75</v>
      </c>
      <c r="J172" t="s">
        <v>722</v>
      </c>
      <c r="K172">
        <v>3</v>
      </c>
      <c r="L172">
        <v>2</v>
      </c>
      <c r="M172">
        <v>4</v>
      </c>
      <c r="N172" s="36">
        <v>45405.735874560189</v>
      </c>
      <c r="O172" s="36">
        <v>45405.735891851851</v>
      </c>
      <c r="P172" t="s">
        <v>760</v>
      </c>
      <c r="Q172">
        <v>1</v>
      </c>
      <c r="R172" t="s">
        <v>724</v>
      </c>
      <c r="S172">
        <v>1713908379478</v>
      </c>
    </row>
    <row r="173" spans="1:19" x14ac:dyDescent="0.35">
      <c r="A173">
        <v>172</v>
      </c>
      <c r="B173">
        <v>1000</v>
      </c>
      <c r="C173">
        <v>5000</v>
      </c>
      <c r="D173">
        <v>5001</v>
      </c>
      <c r="E173">
        <v>3000</v>
      </c>
      <c r="F173" t="s">
        <v>158</v>
      </c>
      <c r="G173" t="s">
        <v>3</v>
      </c>
      <c r="H173" t="s">
        <v>80</v>
      </c>
      <c r="I173" t="s">
        <v>80</v>
      </c>
      <c r="J173" t="s">
        <v>722</v>
      </c>
      <c r="K173">
        <v>3</v>
      </c>
      <c r="L173">
        <v>2</v>
      </c>
      <c r="M173">
        <v>4</v>
      </c>
      <c r="N173" s="36">
        <v>45405.735877129628</v>
      </c>
      <c r="O173" s="36">
        <v>45405.735892951387</v>
      </c>
      <c r="P173" t="s">
        <v>760</v>
      </c>
      <c r="Q173">
        <v>1</v>
      </c>
      <c r="R173" t="s">
        <v>724</v>
      </c>
      <c r="S173">
        <v>1713908379478</v>
      </c>
    </row>
    <row r="174" spans="1:19" x14ac:dyDescent="0.35">
      <c r="A174">
        <v>173</v>
      </c>
      <c r="B174">
        <v>1000</v>
      </c>
      <c r="C174">
        <v>8000</v>
      </c>
      <c r="D174">
        <v>8001</v>
      </c>
      <c r="E174">
        <v>3000</v>
      </c>
      <c r="F174" t="s">
        <v>158</v>
      </c>
      <c r="G174" t="s">
        <v>167</v>
      </c>
      <c r="H174" t="s">
        <v>9</v>
      </c>
      <c r="I174" t="s">
        <v>9</v>
      </c>
      <c r="J174" t="s">
        <v>722</v>
      </c>
      <c r="K174">
        <v>3</v>
      </c>
      <c r="L174">
        <v>2</v>
      </c>
      <c r="M174">
        <v>4</v>
      </c>
      <c r="N174" s="36">
        <v>45405.735879699074</v>
      </c>
      <c r="O174" s="36">
        <v>45405.735893865742</v>
      </c>
      <c r="P174" t="s">
        <v>760</v>
      </c>
      <c r="Q174">
        <v>1</v>
      </c>
      <c r="R174" t="s">
        <v>724</v>
      </c>
      <c r="S174">
        <v>1713908379478</v>
      </c>
    </row>
    <row r="175" spans="1:19" x14ac:dyDescent="0.35">
      <c r="A175">
        <v>174</v>
      </c>
      <c r="B175">
        <v>1000</v>
      </c>
      <c r="C175">
        <v>9000</v>
      </c>
      <c r="D175">
        <v>9001</v>
      </c>
      <c r="E175">
        <v>3000</v>
      </c>
      <c r="F175" t="s">
        <v>158</v>
      </c>
      <c r="G175" t="s">
        <v>168</v>
      </c>
      <c r="H175" t="s">
        <v>88</v>
      </c>
      <c r="I175" t="s">
        <v>88</v>
      </c>
      <c r="J175" t="s">
        <v>722</v>
      </c>
      <c r="K175">
        <v>3</v>
      </c>
      <c r="L175">
        <v>4</v>
      </c>
      <c r="M175">
        <v>4</v>
      </c>
      <c r="N175" s="36">
        <v>45405.735882314817</v>
      </c>
      <c r="O175" s="36">
        <v>45405.735895150465</v>
      </c>
      <c r="P175" t="s">
        <v>760</v>
      </c>
      <c r="Q175">
        <v>1</v>
      </c>
      <c r="R175" t="s">
        <v>724</v>
      </c>
      <c r="S175">
        <v>1713908379478</v>
      </c>
    </row>
    <row r="176" spans="1:19" x14ac:dyDescent="0.35">
      <c r="A176">
        <v>175</v>
      </c>
      <c r="B176">
        <v>1000</v>
      </c>
      <c r="C176">
        <v>10000</v>
      </c>
      <c r="D176">
        <v>10002</v>
      </c>
      <c r="E176">
        <v>3000</v>
      </c>
      <c r="F176" t="s">
        <v>158</v>
      </c>
      <c r="G176" t="s">
        <v>169</v>
      </c>
      <c r="H176" t="s">
        <v>9</v>
      </c>
      <c r="I176" t="s">
        <v>9</v>
      </c>
      <c r="J176" t="s">
        <v>722</v>
      </c>
      <c r="K176">
        <v>3</v>
      </c>
      <c r="L176">
        <v>4</v>
      </c>
      <c r="M176">
        <v>4</v>
      </c>
      <c r="N176" s="36">
        <v>45405.735884340276</v>
      </c>
      <c r="O176" s="36">
        <v>45405.735896053244</v>
      </c>
      <c r="P176" t="s">
        <v>760</v>
      </c>
      <c r="Q176">
        <v>1</v>
      </c>
      <c r="R176" t="s">
        <v>724</v>
      </c>
      <c r="S176">
        <v>1713908379478</v>
      </c>
    </row>
    <row r="177" spans="1:19" x14ac:dyDescent="0.35">
      <c r="A177">
        <v>176</v>
      </c>
      <c r="B177">
        <v>1000</v>
      </c>
      <c r="C177">
        <v>11000</v>
      </c>
      <c r="D177">
        <v>11001</v>
      </c>
      <c r="E177">
        <v>3000</v>
      </c>
      <c r="F177" t="s">
        <v>158</v>
      </c>
      <c r="G177" t="s">
        <v>170</v>
      </c>
      <c r="H177" t="s">
        <v>9</v>
      </c>
      <c r="I177" t="s">
        <v>9</v>
      </c>
      <c r="J177" t="s">
        <v>722</v>
      </c>
      <c r="K177">
        <v>3</v>
      </c>
      <c r="L177">
        <v>4</v>
      </c>
      <c r="M177">
        <v>4</v>
      </c>
      <c r="N177" s="36">
        <v>45405.735886273149</v>
      </c>
      <c r="O177" s="36">
        <v>45405.735896990744</v>
      </c>
      <c r="P177" t="s">
        <v>760</v>
      </c>
      <c r="Q177">
        <v>1</v>
      </c>
      <c r="R177" t="s">
        <v>724</v>
      </c>
      <c r="S177">
        <v>1713908379478</v>
      </c>
    </row>
    <row r="178" spans="1:19" x14ac:dyDescent="0.35">
      <c r="A178">
        <v>177</v>
      </c>
      <c r="B178">
        <v>1000</v>
      </c>
      <c r="C178">
        <v>12000</v>
      </c>
      <c r="D178">
        <v>12001</v>
      </c>
      <c r="E178">
        <v>3000</v>
      </c>
      <c r="F178" t="s">
        <v>158</v>
      </c>
      <c r="G178" t="s">
        <v>16</v>
      </c>
      <c r="H178" t="s">
        <v>18</v>
      </c>
      <c r="I178" t="s">
        <v>18</v>
      </c>
      <c r="J178" t="s">
        <v>722</v>
      </c>
      <c r="K178">
        <v>3</v>
      </c>
      <c r="L178">
        <v>2</v>
      </c>
      <c r="M178">
        <v>4</v>
      </c>
      <c r="N178" s="36">
        <v>45405.73588832176</v>
      </c>
      <c r="O178" s="36">
        <v>45405.735897939812</v>
      </c>
      <c r="P178" t="s">
        <v>760</v>
      </c>
      <c r="Q178">
        <v>1</v>
      </c>
      <c r="R178" t="s">
        <v>724</v>
      </c>
      <c r="S178">
        <v>1713908379478</v>
      </c>
    </row>
    <row r="179" spans="1:19" x14ac:dyDescent="0.35">
      <c r="A179">
        <v>178</v>
      </c>
      <c r="B179">
        <v>1000</v>
      </c>
      <c r="C179">
        <v>13000</v>
      </c>
      <c r="D179">
        <v>13001</v>
      </c>
      <c r="E179">
        <v>3000</v>
      </c>
      <c r="F179" t="s">
        <v>158</v>
      </c>
      <c r="G179" t="s">
        <v>21</v>
      </c>
      <c r="H179" t="s">
        <v>90</v>
      </c>
      <c r="I179" t="s">
        <v>90</v>
      </c>
      <c r="J179" t="s">
        <v>722</v>
      </c>
      <c r="K179">
        <v>3</v>
      </c>
      <c r="L179">
        <v>2</v>
      </c>
      <c r="M179">
        <v>4</v>
      </c>
      <c r="N179" s="36">
        <v>45405.735889814816</v>
      </c>
      <c r="O179" s="36">
        <v>45405.73589916667</v>
      </c>
      <c r="P179" t="s">
        <v>760</v>
      </c>
      <c r="Q179">
        <v>1</v>
      </c>
      <c r="R179" t="s">
        <v>724</v>
      </c>
      <c r="S179">
        <v>1713908379478</v>
      </c>
    </row>
  </sheetData>
  <autoFilter ref="A1:S519" xr:uid="{71147BDA-4F07-471B-8160-1F1AAAB3538C}"/>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67983-E1E0-417D-AE8E-DAAB709CEA0E}">
  <sheetPr codeName="Sheet12"/>
  <dimension ref="A1:D123"/>
  <sheetViews>
    <sheetView workbookViewId="0">
      <selection activeCell="C3" sqref="C3"/>
    </sheetView>
  </sheetViews>
  <sheetFormatPr defaultRowHeight="14.5" x14ac:dyDescent="0.35"/>
  <cols>
    <col min="3" max="3" width="10.08984375" bestFit="1" customWidth="1"/>
    <col min="4" max="4" width="14.26953125" customWidth="1"/>
  </cols>
  <sheetData>
    <row r="1" spans="1:4" x14ac:dyDescent="0.35">
      <c r="A1" t="s">
        <v>196</v>
      </c>
      <c r="B1" t="s">
        <v>106</v>
      </c>
      <c r="C1" t="s">
        <v>50</v>
      </c>
      <c r="D1" t="s">
        <v>197</v>
      </c>
    </row>
    <row r="2" spans="1:4" x14ac:dyDescent="0.35">
      <c r="A2">
        <v>1000</v>
      </c>
      <c r="B2" t="s">
        <v>171</v>
      </c>
      <c r="C2" t="s">
        <v>176</v>
      </c>
      <c r="D2" s="34">
        <v>45292</v>
      </c>
    </row>
    <row r="3" spans="1:4" x14ac:dyDescent="0.35">
      <c r="A3">
        <v>1000</v>
      </c>
      <c r="B3" t="s">
        <v>172</v>
      </c>
      <c r="C3" s="34">
        <v>24979</v>
      </c>
      <c r="D3" s="34">
        <v>45292</v>
      </c>
    </row>
    <row r="4" spans="1:4" x14ac:dyDescent="0.35">
      <c r="D4" s="34"/>
    </row>
    <row r="5" spans="1:4" x14ac:dyDescent="0.35">
      <c r="D5" s="34"/>
    </row>
    <row r="6" spans="1:4" x14ac:dyDescent="0.35">
      <c r="D6" s="34"/>
    </row>
    <row r="7" spans="1:4" x14ac:dyDescent="0.35">
      <c r="D7" s="34"/>
    </row>
    <row r="8" spans="1:4" x14ac:dyDescent="0.35">
      <c r="D8" s="34"/>
    </row>
    <row r="9" spans="1:4" x14ac:dyDescent="0.35">
      <c r="D9" s="34"/>
    </row>
    <row r="10" spans="1:4" x14ac:dyDescent="0.35">
      <c r="D10" s="34"/>
    </row>
    <row r="11" spans="1:4" x14ac:dyDescent="0.35">
      <c r="D11" s="34"/>
    </row>
    <row r="12" spans="1:4" x14ac:dyDescent="0.35">
      <c r="D12" s="34"/>
    </row>
    <row r="13" spans="1:4" x14ac:dyDescent="0.35">
      <c r="D13" s="34"/>
    </row>
    <row r="14" spans="1:4" x14ac:dyDescent="0.35">
      <c r="D14" s="34"/>
    </row>
    <row r="15" spans="1:4" x14ac:dyDescent="0.35">
      <c r="D15" s="34"/>
    </row>
    <row r="16" spans="1:4" x14ac:dyDescent="0.35">
      <c r="D16" s="34"/>
    </row>
    <row r="17" spans="4:4" x14ac:dyDescent="0.35">
      <c r="D17" s="34"/>
    </row>
    <row r="18" spans="4:4" x14ac:dyDescent="0.35">
      <c r="D18" s="34"/>
    </row>
    <row r="19" spans="4:4" x14ac:dyDescent="0.35">
      <c r="D19" s="34"/>
    </row>
    <row r="20" spans="4:4" x14ac:dyDescent="0.35">
      <c r="D20" s="34"/>
    </row>
    <row r="21" spans="4:4" x14ac:dyDescent="0.35">
      <c r="D21" s="34"/>
    </row>
    <row r="22" spans="4:4" x14ac:dyDescent="0.35">
      <c r="D22" s="34"/>
    </row>
    <row r="23" spans="4:4" x14ac:dyDescent="0.35">
      <c r="D23" s="34"/>
    </row>
    <row r="24" spans="4:4" x14ac:dyDescent="0.35">
      <c r="D24" s="34"/>
    </row>
    <row r="25" spans="4:4" x14ac:dyDescent="0.35">
      <c r="D25" s="34"/>
    </row>
    <row r="26" spans="4:4" x14ac:dyDescent="0.35">
      <c r="D26" s="34"/>
    </row>
    <row r="27" spans="4:4" x14ac:dyDescent="0.35">
      <c r="D27" s="34"/>
    </row>
    <row r="28" spans="4:4" x14ac:dyDescent="0.35">
      <c r="D28" s="34"/>
    </row>
    <row r="29" spans="4:4" x14ac:dyDescent="0.35">
      <c r="D29" s="34"/>
    </row>
    <row r="30" spans="4:4" x14ac:dyDescent="0.35">
      <c r="D30" s="34"/>
    </row>
    <row r="31" spans="4:4" x14ac:dyDescent="0.35">
      <c r="D31" s="34"/>
    </row>
    <row r="32" spans="4:4" x14ac:dyDescent="0.35">
      <c r="D32" s="34"/>
    </row>
    <row r="33" spans="4:4" x14ac:dyDescent="0.35">
      <c r="D33" s="34"/>
    </row>
    <row r="34" spans="4:4" x14ac:dyDescent="0.35">
      <c r="D34" s="34"/>
    </row>
    <row r="35" spans="4:4" x14ac:dyDescent="0.35">
      <c r="D35" s="34"/>
    </row>
    <row r="36" spans="4:4" x14ac:dyDescent="0.35">
      <c r="D36" s="34"/>
    </row>
    <row r="37" spans="4:4" x14ac:dyDescent="0.35">
      <c r="D37" s="34"/>
    </row>
    <row r="38" spans="4:4" x14ac:dyDescent="0.35">
      <c r="D38" s="34"/>
    </row>
    <row r="39" spans="4:4" x14ac:dyDescent="0.35">
      <c r="D39" s="34"/>
    </row>
    <row r="40" spans="4:4" x14ac:dyDescent="0.35">
      <c r="D40" s="34"/>
    </row>
    <row r="41" spans="4:4" x14ac:dyDescent="0.35">
      <c r="D41" s="34"/>
    </row>
    <row r="42" spans="4:4" x14ac:dyDescent="0.35">
      <c r="D42" s="34"/>
    </row>
    <row r="43" spans="4:4" x14ac:dyDescent="0.35">
      <c r="D43" s="34"/>
    </row>
    <row r="44" spans="4:4" x14ac:dyDescent="0.35">
      <c r="D44" s="34"/>
    </row>
    <row r="45" spans="4:4" x14ac:dyDescent="0.35">
      <c r="D45" s="34"/>
    </row>
    <row r="46" spans="4:4" x14ac:dyDescent="0.35">
      <c r="D46" s="34"/>
    </row>
    <row r="47" spans="4:4" x14ac:dyDescent="0.35">
      <c r="D47" s="34"/>
    </row>
    <row r="48" spans="4:4" x14ac:dyDescent="0.35">
      <c r="D48" s="34"/>
    </row>
    <row r="49" spans="4:4" x14ac:dyDescent="0.35">
      <c r="D49" s="34"/>
    </row>
    <row r="50" spans="4:4" x14ac:dyDescent="0.35">
      <c r="D50" s="34"/>
    </row>
    <row r="51" spans="4:4" x14ac:dyDescent="0.35">
      <c r="D51" s="34"/>
    </row>
    <row r="52" spans="4:4" x14ac:dyDescent="0.35">
      <c r="D52" s="34"/>
    </row>
    <row r="53" spans="4:4" x14ac:dyDescent="0.35">
      <c r="D53" s="34"/>
    </row>
    <row r="54" spans="4:4" x14ac:dyDescent="0.35">
      <c r="D54" s="34"/>
    </row>
    <row r="55" spans="4:4" x14ac:dyDescent="0.35">
      <c r="D55" s="34"/>
    </row>
    <row r="56" spans="4:4" x14ac:dyDescent="0.35">
      <c r="D56" s="34"/>
    </row>
    <row r="57" spans="4:4" x14ac:dyDescent="0.35">
      <c r="D57" s="34"/>
    </row>
    <row r="58" spans="4:4" x14ac:dyDescent="0.35">
      <c r="D58" s="34"/>
    </row>
    <row r="59" spans="4:4" x14ac:dyDescent="0.35">
      <c r="D59" s="34"/>
    </row>
    <row r="60" spans="4:4" x14ac:dyDescent="0.35">
      <c r="D60" s="34"/>
    </row>
    <row r="61" spans="4:4" x14ac:dyDescent="0.35">
      <c r="D61" s="34"/>
    </row>
    <row r="62" spans="4:4" x14ac:dyDescent="0.35">
      <c r="D62" s="34"/>
    </row>
    <row r="63" spans="4:4" x14ac:dyDescent="0.35">
      <c r="D63" s="34"/>
    </row>
    <row r="64" spans="4:4" x14ac:dyDescent="0.35">
      <c r="D64" s="34"/>
    </row>
    <row r="65" spans="4:4" x14ac:dyDescent="0.35">
      <c r="D65" s="34"/>
    </row>
    <row r="66" spans="4:4" x14ac:dyDescent="0.35">
      <c r="D66" s="34"/>
    </row>
    <row r="67" spans="4:4" x14ac:dyDescent="0.35">
      <c r="D67" s="34"/>
    </row>
    <row r="68" spans="4:4" x14ac:dyDescent="0.35">
      <c r="D68" s="34"/>
    </row>
    <row r="69" spans="4:4" x14ac:dyDescent="0.35">
      <c r="D69" s="34"/>
    </row>
    <row r="70" spans="4:4" x14ac:dyDescent="0.35">
      <c r="D70" s="34"/>
    </row>
    <row r="71" spans="4:4" x14ac:dyDescent="0.35">
      <c r="D71" s="34"/>
    </row>
    <row r="72" spans="4:4" x14ac:dyDescent="0.35">
      <c r="D72" s="34"/>
    </row>
    <row r="73" spans="4:4" x14ac:dyDescent="0.35">
      <c r="D73" s="34"/>
    </row>
    <row r="74" spans="4:4" x14ac:dyDescent="0.35">
      <c r="D74" s="34"/>
    </row>
    <row r="75" spans="4:4" x14ac:dyDescent="0.35">
      <c r="D75" s="34"/>
    </row>
    <row r="76" spans="4:4" x14ac:dyDescent="0.35">
      <c r="D76" s="34"/>
    </row>
    <row r="77" spans="4:4" x14ac:dyDescent="0.35">
      <c r="D77" s="34"/>
    </row>
    <row r="78" spans="4:4" x14ac:dyDescent="0.35">
      <c r="D78" s="34"/>
    </row>
    <row r="79" spans="4:4" x14ac:dyDescent="0.35">
      <c r="D79" s="34"/>
    </row>
    <row r="80" spans="4:4" x14ac:dyDescent="0.35">
      <c r="D80" s="34"/>
    </row>
    <row r="81" spans="4:4" x14ac:dyDescent="0.35">
      <c r="D81" s="34"/>
    </row>
    <row r="82" spans="4:4" x14ac:dyDescent="0.35">
      <c r="D82" s="34"/>
    </row>
    <row r="83" spans="4:4" x14ac:dyDescent="0.35">
      <c r="D83" s="34"/>
    </row>
    <row r="84" spans="4:4" x14ac:dyDescent="0.35">
      <c r="D84" s="34"/>
    </row>
    <row r="85" spans="4:4" x14ac:dyDescent="0.35">
      <c r="D85" s="34"/>
    </row>
    <row r="86" spans="4:4" x14ac:dyDescent="0.35">
      <c r="D86" s="34"/>
    </row>
    <row r="87" spans="4:4" x14ac:dyDescent="0.35">
      <c r="D87" s="34"/>
    </row>
    <row r="88" spans="4:4" x14ac:dyDescent="0.35">
      <c r="D88" s="34"/>
    </row>
    <row r="89" spans="4:4" x14ac:dyDescent="0.35">
      <c r="D89" s="34"/>
    </row>
    <row r="90" spans="4:4" x14ac:dyDescent="0.35">
      <c r="D90" s="34"/>
    </row>
    <row r="91" spans="4:4" x14ac:dyDescent="0.35">
      <c r="D91" s="34"/>
    </row>
    <row r="92" spans="4:4" x14ac:dyDescent="0.35">
      <c r="D92" s="34"/>
    </row>
    <row r="93" spans="4:4" x14ac:dyDescent="0.35">
      <c r="D93" s="34"/>
    </row>
    <row r="94" spans="4:4" x14ac:dyDescent="0.35">
      <c r="D94" s="34"/>
    </row>
    <row r="95" spans="4:4" x14ac:dyDescent="0.35">
      <c r="D95" s="34"/>
    </row>
    <row r="96" spans="4:4" x14ac:dyDescent="0.35">
      <c r="D96" s="34"/>
    </row>
    <row r="97" spans="4:4" x14ac:dyDescent="0.35">
      <c r="D97" s="34"/>
    </row>
    <row r="98" spans="4:4" x14ac:dyDescent="0.35">
      <c r="D98" s="34"/>
    </row>
    <row r="99" spans="4:4" x14ac:dyDescent="0.35">
      <c r="D99" s="34"/>
    </row>
    <row r="100" spans="4:4" x14ac:dyDescent="0.35">
      <c r="D100" s="34"/>
    </row>
    <row r="101" spans="4:4" x14ac:dyDescent="0.35">
      <c r="D101" s="34"/>
    </row>
    <row r="102" spans="4:4" x14ac:dyDescent="0.35">
      <c r="D102" s="34"/>
    </row>
    <row r="103" spans="4:4" x14ac:dyDescent="0.35">
      <c r="D103" s="34"/>
    </row>
    <row r="104" spans="4:4" x14ac:dyDescent="0.35">
      <c r="D104" s="34"/>
    </row>
    <row r="105" spans="4:4" x14ac:dyDescent="0.35">
      <c r="D105" s="34"/>
    </row>
    <row r="106" spans="4:4" x14ac:dyDescent="0.35">
      <c r="D106" s="34"/>
    </row>
    <row r="107" spans="4:4" x14ac:dyDescent="0.35">
      <c r="D107" s="34"/>
    </row>
    <row r="108" spans="4:4" x14ac:dyDescent="0.35">
      <c r="D108" s="34"/>
    </row>
    <row r="109" spans="4:4" x14ac:dyDescent="0.35">
      <c r="D109" s="34"/>
    </row>
    <row r="110" spans="4:4" x14ac:dyDescent="0.35">
      <c r="D110" s="34"/>
    </row>
    <row r="111" spans="4:4" x14ac:dyDescent="0.35">
      <c r="D111" s="34"/>
    </row>
    <row r="112" spans="4:4" x14ac:dyDescent="0.35">
      <c r="D112" s="34"/>
    </row>
    <row r="113" spans="4:4" x14ac:dyDescent="0.35">
      <c r="D113" s="34"/>
    </row>
    <row r="114" spans="4:4" x14ac:dyDescent="0.35">
      <c r="D114" s="34"/>
    </row>
    <row r="115" spans="4:4" x14ac:dyDescent="0.35">
      <c r="D115" s="34"/>
    </row>
    <row r="116" spans="4:4" x14ac:dyDescent="0.35">
      <c r="D116" s="34"/>
    </row>
    <row r="117" spans="4:4" x14ac:dyDescent="0.35">
      <c r="D117" s="34"/>
    </row>
    <row r="118" spans="4:4" x14ac:dyDescent="0.35">
      <c r="D118" s="34"/>
    </row>
    <row r="119" spans="4:4" x14ac:dyDescent="0.35">
      <c r="D119" s="34"/>
    </row>
    <row r="120" spans="4:4" x14ac:dyDescent="0.35">
      <c r="D120" s="34"/>
    </row>
    <row r="121" spans="4:4" x14ac:dyDescent="0.35">
      <c r="D121" s="34"/>
    </row>
    <row r="122" spans="4:4" x14ac:dyDescent="0.35">
      <c r="D122" s="34"/>
    </row>
    <row r="123" spans="4:4" x14ac:dyDescent="0.35">
      <c r="D123" s="3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27D40-097F-456C-8B00-AA3182AA0079}">
  <sheetPr codeName="Sheet13"/>
  <dimension ref="A1:H17"/>
  <sheetViews>
    <sheetView workbookViewId="0">
      <selection activeCell="H1" sqref="H1:H17"/>
    </sheetView>
  </sheetViews>
  <sheetFormatPr defaultRowHeight="14.5" x14ac:dyDescent="0.35"/>
  <cols>
    <col min="2" max="2" width="15.6328125" bestFit="1" customWidth="1"/>
    <col min="3" max="5" width="15.6328125" customWidth="1"/>
    <col min="7" max="7" width="0" hidden="1" customWidth="1"/>
  </cols>
  <sheetData>
    <row r="1" spans="1:8" x14ac:dyDescent="0.35">
      <c r="A1" s="39" t="s">
        <v>213</v>
      </c>
      <c r="B1" s="39" t="s">
        <v>214</v>
      </c>
      <c r="C1" s="39" t="s">
        <v>215</v>
      </c>
      <c r="D1" s="39" t="s">
        <v>216</v>
      </c>
      <c r="E1" s="39" t="s">
        <v>217</v>
      </c>
      <c r="H1" t="s">
        <v>1398</v>
      </c>
    </row>
    <row r="2" spans="1:8" x14ac:dyDescent="0.35">
      <c r="A2" s="37" t="s">
        <v>850</v>
      </c>
      <c r="B2" s="37" t="s">
        <v>177</v>
      </c>
      <c r="C2" s="37">
        <v>20.7</v>
      </c>
      <c r="D2" s="37">
        <v>24.6</v>
      </c>
      <c r="E2" s="37">
        <v>31.6</v>
      </c>
      <c r="G2" t="str">
        <f>CONCATENATE("INSERT INTO  BMI (GENDER, AGE, UNDER_WEIGHT, NORMAL_WEIGHT, OVER_WEIGHT) VALUES ('",A2,"', '",B2,"', ",C2,", ",D2,", ",E2, ");")</f>
        <v>INSERT INTO  BMI (GENDER, AGE, UNDER_WEIGHT, NORMAL_WEIGHT, OVER_WEIGHT) VALUES ('Man', '20 years under', 20.7, 24.6, 31.6);</v>
      </c>
      <c r="H2" t="str">
        <f>CONCATENATE("('",A2,"', '",B2,"', ",C2,", ",D2,", ",E2,"),")</f>
        <v>('Man', '20 years under', 20.7, 24.6, 31.6),</v>
      </c>
    </row>
    <row r="3" spans="1:8" x14ac:dyDescent="0.35">
      <c r="A3" s="37" t="s">
        <v>850</v>
      </c>
      <c r="B3" s="37" t="s">
        <v>207</v>
      </c>
      <c r="C3" s="37">
        <v>19.3</v>
      </c>
      <c r="D3" s="37">
        <v>22.5</v>
      </c>
      <c r="E3" s="37">
        <v>30.5</v>
      </c>
      <c r="G3" t="str">
        <f t="shared" ref="G3:G17" si="0">CONCATENATE("INSERT INTO  BMI (GENDER, AGE, UNDER_WEIGHT, NORMAL_WEIGHT, OVER_WEIGHT) VALUES ('",A3,"', '",B3,"', ",C3,", ",D3,", ",E3, ");")</f>
        <v>INSERT INTO  BMI (GENDER, AGE, UNDER_WEIGHT, NORMAL_WEIGHT, OVER_WEIGHT) VALUES ('Man', '20 - 29 years', 19.3, 22.5, 30.5);</v>
      </c>
      <c r="H3" t="str">
        <f t="shared" ref="H3:H17" si="1">CONCATENATE("('",A3,"', '",B3,"', ",C3,", ",D3,", ",E3,"),")</f>
        <v>('Man', '20 - 29 years', 19.3, 22.5, 30.5),</v>
      </c>
    </row>
    <row r="4" spans="1:8" x14ac:dyDescent="0.35">
      <c r="A4" s="37" t="s">
        <v>850</v>
      </c>
      <c r="B4" s="37" t="s">
        <v>208</v>
      </c>
      <c r="C4" s="37">
        <v>21.1</v>
      </c>
      <c r="D4" s="37">
        <v>24.8</v>
      </c>
      <c r="E4" s="37">
        <v>31.9</v>
      </c>
      <c r="G4" t="str">
        <f t="shared" si="0"/>
        <v>INSERT INTO  BMI (GENDER, AGE, UNDER_WEIGHT, NORMAL_WEIGHT, OVER_WEIGHT) VALUES ('Man', '30 - 39 years', 21.1, 24.8, 31.9);</v>
      </c>
      <c r="H4" t="str">
        <f t="shared" si="1"/>
        <v>('Man', '30 - 39 years', 21.1, 24.8, 31.9),</v>
      </c>
    </row>
    <row r="5" spans="1:8" x14ac:dyDescent="0.35">
      <c r="A5" s="37" t="s">
        <v>850</v>
      </c>
      <c r="B5" s="37" t="s">
        <v>209</v>
      </c>
      <c r="C5" s="37">
        <v>21.9</v>
      </c>
      <c r="D5" s="37">
        <v>25.7</v>
      </c>
      <c r="E5" s="37">
        <v>31.9</v>
      </c>
      <c r="G5" t="str">
        <f t="shared" si="0"/>
        <v>INSERT INTO  BMI (GENDER, AGE, UNDER_WEIGHT, NORMAL_WEIGHT, OVER_WEIGHT) VALUES ('Man', '40 - 49 years', 21.9, 25.7, 31.9);</v>
      </c>
      <c r="H5" t="str">
        <f t="shared" si="1"/>
        <v>('Man', '40 - 49 years', 21.9, 25.7, 31.9),</v>
      </c>
    </row>
    <row r="6" spans="1:8" x14ac:dyDescent="0.35">
      <c r="A6" s="37" t="s">
        <v>850</v>
      </c>
      <c r="B6" s="37" t="s">
        <v>210</v>
      </c>
      <c r="C6" s="37">
        <v>21.6</v>
      </c>
      <c r="D6" s="37">
        <v>25.4</v>
      </c>
      <c r="E6" s="37">
        <v>32</v>
      </c>
      <c r="G6" t="str">
        <f t="shared" si="0"/>
        <v>INSERT INTO  BMI (GENDER, AGE, UNDER_WEIGHT, NORMAL_WEIGHT, OVER_WEIGHT) VALUES ('Man', '50 - 59 years', 21.6, 25.4, 32);</v>
      </c>
      <c r="H6" t="str">
        <f t="shared" si="1"/>
        <v>('Man', '50 - 59 years', 21.6, 25.4, 32),</v>
      </c>
    </row>
    <row r="7" spans="1:8" x14ac:dyDescent="0.35">
      <c r="A7" s="37" t="s">
        <v>850</v>
      </c>
      <c r="B7" s="37" t="s">
        <v>211</v>
      </c>
      <c r="C7" s="37">
        <v>21.6</v>
      </c>
      <c r="D7" s="37">
        <v>25.3</v>
      </c>
      <c r="E7" s="37">
        <v>32.4</v>
      </c>
      <c r="G7" t="str">
        <f t="shared" si="0"/>
        <v>INSERT INTO  BMI (GENDER, AGE, UNDER_WEIGHT, NORMAL_WEIGHT, OVER_WEIGHT) VALUES ('Man', '60 - 69 years', 21.6, 25.3, 32.4);</v>
      </c>
      <c r="H7" t="str">
        <f t="shared" si="1"/>
        <v>('Man', '60 - 69 years', 21.6, 25.3, 32.4),</v>
      </c>
    </row>
    <row r="8" spans="1:8" x14ac:dyDescent="0.35">
      <c r="A8" s="37" t="s">
        <v>850</v>
      </c>
      <c r="B8" s="37" t="s">
        <v>212</v>
      </c>
      <c r="C8" s="37">
        <v>21.5</v>
      </c>
      <c r="D8" s="37">
        <v>25.4</v>
      </c>
      <c r="E8" s="37">
        <v>30.9</v>
      </c>
      <c r="G8" t="str">
        <f t="shared" si="0"/>
        <v>INSERT INTO  BMI (GENDER, AGE, UNDER_WEIGHT, NORMAL_WEIGHT, OVER_WEIGHT) VALUES ('Man', '70 - 79 years', 21.5, 25.4, 30.9);</v>
      </c>
      <c r="H8" t="str">
        <f t="shared" si="1"/>
        <v>('Man', '70 - 79 years', 21.5, 25.4, 30.9),</v>
      </c>
    </row>
    <row r="9" spans="1:8" x14ac:dyDescent="0.35">
      <c r="A9" s="37" t="s">
        <v>850</v>
      </c>
      <c r="B9" s="37" t="s">
        <v>178</v>
      </c>
      <c r="C9" s="37">
        <v>20</v>
      </c>
      <c r="D9" s="37">
        <v>24.1</v>
      </c>
      <c r="E9" s="37">
        <v>29</v>
      </c>
      <c r="G9" t="str">
        <f t="shared" si="0"/>
        <v>INSERT INTO  BMI (GENDER, AGE, UNDER_WEIGHT, NORMAL_WEIGHT, OVER_WEIGHT) VALUES ('Man', '80 years and over', 20, 24.1, 29);</v>
      </c>
      <c r="H9" t="str">
        <f t="shared" si="1"/>
        <v>('Man', '80 years and over', 20, 24.1, 29),</v>
      </c>
    </row>
    <row r="10" spans="1:8" x14ac:dyDescent="0.35">
      <c r="A10" s="38" t="s">
        <v>849</v>
      </c>
      <c r="B10" s="38" t="s">
        <v>177</v>
      </c>
      <c r="C10" s="38">
        <v>19.600000000000001</v>
      </c>
      <c r="D10" s="38">
        <v>23.6</v>
      </c>
      <c r="E10" s="38">
        <v>33.200000000000003</v>
      </c>
      <c r="G10" t="str">
        <f t="shared" si="0"/>
        <v>INSERT INTO  BMI (GENDER, AGE, UNDER_WEIGHT, NORMAL_WEIGHT, OVER_WEIGHT) VALUES ('Woman', '20 years under', 19.6, 23.6, 33.2);</v>
      </c>
      <c r="H10" t="str">
        <f t="shared" si="1"/>
        <v>('Woman', '20 years under', 19.6, 23.6, 33.2),</v>
      </c>
    </row>
    <row r="11" spans="1:8" x14ac:dyDescent="0.35">
      <c r="A11" s="38" t="s">
        <v>849</v>
      </c>
      <c r="B11" s="38" t="s">
        <v>207</v>
      </c>
      <c r="C11" s="38">
        <v>18.600000000000001</v>
      </c>
      <c r="D11" s="38">
        <v>21.9</v>
      </c>
      <c r="E11" s="38">
        <v>31.8</v>
      </c>
      <c r="G11" t="str">
        <f t="shared" si="0"/>
        <v>INSERT INTO  BMI (GENDER, AGE, UNDER_WEIGHT, NORMAL_WEIGHT, OVER_WEIGHT) VALUES ('Woman', '20 - 29 years', 18.6, 21.9, 31.8);</v>
      </c>
      <c r="H11" t="str">
        <f t="shared" si="1"/>
        <v>('Woman', '20 - 29 years', 18.6, 21.9, 31.8),</v>
      </c>
    </row>
    <row r="12" spans="1:8" x14ac:dyDescent="0.35">
      <c r="A12" s="38" t="s">
        <v>849</v>
      </c>
      <c r="B12" s="38" t="s">
        <v>208</v>
      </c>
      <c r="C12" s="38">
        <v>19.8</v>
      </c>
      <c r="D12" s="38">
        <v>23.3</v>
      </c>
      <c r="E12" s="38">
        <v>33.1</v>
      </c>
      <c r="G12" t="str">
        <f t="shared" si="0"/>
        <v>INSERT INTO  BMI (GENDER, AGE, UNDER_WEIGHT, NORMAL_WEIGHT, OVER_WEIGHT) VALUES ('Woman', '30 - 39 years', 19.8, 23.3, 33.1);</v>
      </c>
      <c r="H12" t="str">
        <f t="shared" si="1"/>
        <v>('Woman', '30 - 39 years', 19.8, 23.3, 33.1),</v>
      </c>
    </row>
    <row r="13" spans="1:8" x14ac:dyDescent="0.35">
      <c r="A13" s="38" t="s">
        <v>849</v>
      </c>
      <c r="B13" s="38" t="s">
        <v>209</v>
      </c>
      <c r="C13" s="38">
        <v>20</v>
      </c>
      <c r="D13" s="38">
        <v>23.7</v>
      </c>
      <c r="E13" s="38">
        <v>33.4</v>
      </c>
      <c r="G13" t="str">
        <f t="shared" si="0"/>
        <v>INSERT INTO  BMI (GENDER, AGE, UNDER_WEIGHT, NORMAL_WEIGHT, OVER_WEIGHT) VALUES ('Woman', '40 - 49 years', 20, 23.7, 33.4);</v>
      </c>
      <c r="H13" t="str">
        <f t="shared" si="1"/>
        <v>('Woman', '40 - 49 years', 20, 23.7, 33.4),</v>
      </c>
    </row>
    <row r="14" spans="1:8" x14ac:dyDescent="0.35">
      <c r="A14" s="38" t="s">
        <v>849</v>
      </c>
      <c r="B14" s="38" t="s">
        <v>210</v>
      </c>
      <c r="C14" s="38">
        <v>19.899999999999999</v>
      </c>
      <c r="D14" s="38">
        <v>24.5</v>
      </c>
      <c r="E14" s="38">
        <v>34.4</v>
      </c>
      <c r="G14" t="str">
        <f t="shared" si="0"/>
        <v>INSERT INTO  BMI (GENDER, AGE, UNDER_WEIGHT, NORMAL_WEIGHT, OVER_WEIGHT) VALUES ('Woman', '50 - 59 years', 19.9, 24.5, 34.4);</v>
      </c>
      <c r="H14" t="str">
        <f t="shared" si="1"/>
        <v>('Woman', '50 - 59 years', 19.9, 24.5, 34.4),</v>
      </c>
    </row>
    <row r="15" spans="1:8" x14ac:dyDescent="0.35">
      <c r="A15" s="38" t="s">
        <v>849</v>
      </c>
      <c r="B15" s="38" t="s">
        <v>211</v>
      </c>
      <c r="C15" s="38">
        <v>20</v>
      </c>
      <c r="D15" s="38">
        <v>24.5</v>
      </c>
      <c r="E15" s="38">
        <v>33.4</v>
      </c>
      <c r="G15" t="str">
        <f t="shared" si="0"/>
        <v>INSERT INTO  BMI (GENDER, AGE, UNDER_WEIGHT, NORMAL_WEIGHT, OVER_WEIGHT) VALUES ('Woman', '60 - 69 years', 20, 24.5, 33.4);</v>
      </c>
      <c r="H15" t="str">
        <f t="shared" si="1"/>
        <v>('Woman', '60 - 69 years', 20, 24.5, 33.4),</v>
      </c>
    </row>
    <row r="16" spans="1:8" x14ac:dyDescent="0.35">
      <c r="A16" s="38" t="s">
        <v>849</v>
      </c>
      <c r="B16" s="38" t="s">
        <v>212</v>
      </c>
      <c r="C16" s="38">
        <v>20.5</v>
      </c>
      <c r="D16" s="38">
        <v>24.6</v>
      </c>
      <c r="E16" s="38">
        <v>33.4</v>
      </c>
      <c r="G16" t="str">
        <f t="shared" si="0"/>
        <v>INSERT INTO  BMI (GENDER, AGE, UNDER_WEIGHT, NORMAL_WEIGHT, OVER_WEIGHT) VALUES ('Woman', '70 - 79 years', 20.5, 24.6, 33.4);</v>
      </c>
      <c r="H16" t="str">
        <f t="shared" si="1"/>
        <v>('Woman', '70 - 79 years', 20.5, 24.6, 33.4),</v>
      </c>
    </row>
    <row r="17" spans="1:8" x14ac:dyDescent="0.35">
      <c r="A17" s="38" t="s">
        <v>849</v>
      </c>
      <c r="B17" s="38" t="s">
        <v>178</v>
      </c>
      <c r="C17" s="38">
        <v>19.3</v>
      </c>
      <c r="D17" s="38">
        <v>23.3</v>
      </c>
      <c r="E17" s="38">
        <v>29.7</v>
      </c>
      <c r="G17" t="str">
        <f t="shared" si="0"/>
        <v>INSERT INTO  BMI (GENDER, AGE, UNDER_WEIGHT, NORMAL_WEIGHT, OVER_WEIGHT) VALUES ('Woman', '80 years and over', 19.3, 23.3, 29.7);</v>
      </c>
      <c r="H17" t="str">
        <f t="shared" si="1"/>
        <v>('Woman', '80 years and over', 19.3, 23.3, 29.7),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460CC-3F3C-4855-A798-C22117CEA91B}">
  <sheetPr codeName="Sheet14"/>
  <dimension ref="A1:G3"/>
  <sheetViews>
    <sheetView workbookViewId="0">
      <selection activeCell="G2" sqref="G2"/>
    </sheetView>
  </sheetViews>
  <sheetFormatPr defaultRowHeight="14.5" x14ac:dyDescent="0.35"/>
  <cols>
    <col min="2" max="4" width="15.6328125" customWidth="1"/>
  </cols>
  <sheetData>
    <row r="1" spans="1:7" x14ac:dyDescent="0.35">
      <c r="A1" s="39" t="s">
        <v>213</v>
      </c>
      <c r="B1" s="39" t="s">
        <v>225</v>
      </c>
      <c r="C1" s="39" t="s">
        <v>226</v>
      </c>
      <c r="D1" s="39" t="s">
        <v>227</v>
      </c>
      <c r="G1" t="s">
        <v>1399</v>
      </c>
    </row>
    <row r="2" spans="1:7" x14ac:dyDescent="0.35">
      <c r="A2" s="37" t="s">
        <v>176</v>
      </c>
      <c r="B2" s="41">
        <v>0.95</v>
      </c>
      <c r="C2" s="41">
        <v>1.25</v>
      </c>
      <c r="D2" s="41">
        <v>2</v>
      </c>
      <c r="G2" t="str">
        <f>CONCATENATE("('",A2,"', ",B2,", ",C2,", ",D2, "),")</f>
        <v>('Male', 0.95, 1.25, 2),</v>
      </c>
    </row>
    <row r="3" spans="1:7" x14ac:dyDescent="0.35">
      <c r="A3" s="38" t="s">
        <v>175</v>
      </c>
      <c r="B3" s="40">
        <v>0.8</v>
      </c>
      <c r="C3" s="40">
        <v>0.85</v>
      </c>
      <c r="D3" s="40">
        <v>1</v>
      </c>
      <c r="G3" t="str">
        <f>CONCATENATE("('",A3,"', ",B3,", ",C3,", ",D3, "),")</f>
        <v>('Female', 0.8, 0.85, 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67CB5-81EE-4C09-8117-2ECB1870DC5F}">
  <sheetPr codeName="Sheet15"/>
  <dimension ref="A1:G9"/>
  <sheetViews>
    <sheetView workbookViewId="0">
      <selection activeCell="G1" sqref="G1"/>
    </sheetView>
  </sheetViews>
  <sheetFormatPr defaultRowHeight="14.5" x14ac:dyDescent="0.35"/>
  <cols>
    <col min="1" max="1" width="15.6328125" bestFit="1" customWidth="1"/>
    <col min="2" max="4" width="15.6328125" customWidth="1"/>
    <col min="7" max="7" width="8.7265625" customWidth="1"/>
  </cols>
  <sheetData>
    <row r="1" spans="1:7" x14ac:dyDescent="0.35">
      <c r="A1" s="39" t="s">
        <v>214</v>
      </c>
      <c r="B1" s="39" t="s">
        <v>228</v>
      </c>
      <c r="C1" s="39" t="s">
        <v>229</v>
      </c>
      <c r="D1" s="39" t="s">
        <v>230</v>
      </c>
      <c r="G1" t="s">
        <v>1400</v>
      </c>
    </row>
    <row r="2" spans="1:7" x14ac:dyDescent="0.35">
      <c r="A2" s="37" t="s">
        <v>177</v>
      </c>
      <c r="B2" s="37">
        <v>8</v>
      </c>
      <c r="C2" s="37">
        <v>7</v>
      </c>
      <c r="D2" s="37">
        <v>6</v>
      </c>
      <c r="G2" t="str">
        <f>CONCATENATE("('",A2,"', ",B2,", ",C2,", ",D2, "),")</f>
        <v>('20 years under', 8, 7, 6),</v>
      </c>
    </row>
    <row r="3" spans="1:7" x14ac:dyDescent="0.35">
      <c r="A3" s="37" t="s">
        <v>207</v>
      </c>
      <c r="B3" s="37">
        <v>7</v>
      </c>
      <c r="C3" s="37">
        <v>6</v>
      </c>
      <c r="D3" s="37">
        <v>5</v>
      </c>
      <c r="G3" t="str">
        <f t="shared" ref="G3:G9" si="0">CONCATENATE("('",A3,"', ",B3,", ",C3,", ",D3, "),")</f>
        <v>('20 - 29 years', 7, 6, 5),</v>
      </c>
    </row>
    <row r="4" spans="1:7" x14ac:dyDescent="0.35">
      <c r="A4" s="37" t="s">
        <v>208</v>
      </c>
      <c r="B4" s="37">
        <v>7</v>
      </c>
      <c r="C4" s="37">
        <v>6</v>
      </c>
      <c r="D4" s="37">
        <v>5</v>
      </c>
      <c r="G4" t="str">
        <f t="shared" si="0"/>
        <v>('30 - 39 years', 7, 6, 5),</v>
      </c>
    </row>
    <row r="5" spans="1:7" x14ac:dyDescent="0.35">
      <c r="A5" s="37" t="s">
        <v>209</v>
      </c>
      <c r="B5" s="37">
        <v>7</v>
      </c>
      <c r="C5" s="37">
        <v>6</v>
      </c>
      <c r="D5" s="37">
        <v>5</v>
      </c>
      <c r="G5" t="str">
        <f t="shared" si="0"/>
        <v>('40 - 49 years', 7, 6, 5),</v>
      </c>
    </row>
    <row r="6" spans="1:7" x14ac:dyDescent="0.35">
      <c r="A6" s="37" t="s">
        <v>210</v>
      </c>
      <c r="B6" s="37">
        <v>7</v>
      </c>
      <c r="C6" s="37">
        <v>6</v>
      </c>
      <c r="D6" s="37">
        <v>5</v>
      </c>
      <c r="G6" t="str">
        <f t="shared" si="0"/>
        <v>('50 - 59 years', 7, 6, 5),</v>
      </c>
    </row>
    <row r="7" spans="1:7" x14ac:dyDescent="0.35">
      <c r="A7" s="37" t="s">
        <v>211</v>
      </c>
      <c r="B7" s="37">
        <v>8</v>
      </c>
      <c r="C7" s="37">
        <v>7</v>
      </c>
      <c r="D7" s="37">
        <v>6</v>
      </c>
      <c r="G7" t="str">
        <f t="shared" si="0"/>
        <v>('60 - 69 years', 8, 7, 6),</v>
      </c>
    </row>
    <row r="8" spans="1:7" x14ac:dyDescent="0.35">
      <c r="A8" s="37" t="s">
        <v>212</v>
      </c>
      <c r="B8" s="37">
        <v>7</v>
      </c>
      <c r="C8" s="37">
        <v>6</v>
      </c>
      <c r="D8" s="37">
        <v>5</v>
      </c>
      <c r="G8" t="str">
        <f t="shared" si="0"/>
        <v>('70 - 79 years', 7, 6, 5),</v>
      </c>
    </row>
    <row r="9" spans="1:7" x14ac:dyDescent="0.35">
      <c r="A9" s="37" t="s">
        <v>178</v>
      </c>
      <c r="B9" s="37">
        <v>7</v>
      </c>
      <c r="C9" s="37">
        <v>6</v>
      </c>
      <c r="D9" s="37">
        <v>5</v>
      </c>
      <c r="G9" t="str">
        <f t="shared" si="0"/>
        <v>('80 years and over', 7, 6, 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2998F-6F39-433C-B244-5FEFD03308C4}">
  <sheetPr codeName="Sheet16"/>
  <dimension ref="A1:D33"/>
  <sheetViews>
    <sheetView topLeftCell="A16" workbookViewId="0">
      <selection activeCell="D35" sqref="D35"/>
    </sheetView>
  </sheetViews>
  <sheetFormatPr defaultRowHeight="14.5" x14ac:dyDescent="0.35"/>
  <cols>
    <col min="1" max="1" width="36.90625" customWidth="1"/>
  </cols>
  <sheetData>
    <row r="1" spans="1:4" x14ac:dyDescent="0.35">
      <c r="A1" s="39" t="s">
        <v>236</v>
      </c>
      <c r="B1" s="39" t="s">
        <v>173</v>
      </c>
    </row>
    <row r="2" spans="1:4" x14ac:dyDescent="0.35">
      <c r="A2" s="37" t="s">
        <v>237</v>
      </c>
      <c r="B2" s="37">
        <v>25</v>
      </c>
      <c r="D2" t="str">
        <f>CONCATENATE(A2, " = ",B2)</f>
        <v>MODERATE_LIFESTYLE = 25</v>
      </c>
    </row>
    <row r="3" spans="1:4" x14ac:dyDescent="0.35">
      <c r="A3" s="37" t="s">
        <v>238</v>
      </c>
      <c r="B3" s="37">
        <v>15</v>
      </c>
      <c r="D3" t="str">
        <f t="shared" ref="D3:D33" si="0">CONCATENATE(A3, " = ",B3)</f>
        <v>SEDENTARY_LIFESTYLE = 15</v>
      </c>
    </row>
    <row r="4" spans="1:4" x14ac:dyDescent="0.35">
      <c r="A4" s="37" t="s">
        <v>245</v>
      </c>
      <c r="B4" s="37">
        <v>7</v>
      </c>
      <c r="D4" t="str">
        <f t="shared" si="0"/>
        <v>EXCELLENT_HYDRATION = 7</v>
      </c>
    </row>
    <row r="5" spans="1:4" x14ac:dyDescent="0.35">
      <c r="A5" s="37" t="s">
        <v>244</v>
      </c>
      <c r="B5" s="37">
        <v>5</v>
      </c>
      <c r="D5" t="str">
        <f t="shared" si="0"/>
        <v>MODERATE_HYDRATION = 5</v>
      </c>
    </row>
    <row r="6" spans="1:4" x14ac:dyDescent="0.35">
      <c r="A6" s="37" t="s">
        <v>250</v>
      </c>
      <c r="B6" s="37">
        <v>12</v>
      </c>
      <c r="D6" t="str">
        <f t="shared" si="0"/>
        <v>EXCEPTIONAL_FASTING = 12</v>
      </c>
    </row>
    <row r="7" spans="1:4" x14ac:dyDescent="0.35">
      <c r="A7" s="37" t="s">
        <v>251</v>
      </c>
      <c r="B7" s="37">
        <v>10</v>
      </c>
      <c r="D7" t="str">
        <f t="shared" si="0"/>
        <v>OPTIMUM_FASTING = 10</v>
      </c>
    </row>
    <row r="8" spans="1:4" x14ac:dyDescent="0.35">
      <c r="A8" s="37" t="s">
        <v>253</v>
      </c>
      <c r="B8" s="37">
        <v>5</v>
      </c>
      <c r="D8" t="str">
        <f t="shared" si="0"/>
        <v>PHQ9_NORMAL = 5</v>
      </c>
    </row>
    <row r="9" spans="1:4" x14ac:dyDescent="0.35">
      <c r="A9" s="37" t="s">
        <v>254</v>
      </c>
      <c r="B9" s="37">
        <v>10</v>
      </c>
      <c r="D9" t="str">
        <f t="shared" si="0"/>
        <v>PHQ9_MILD_DEPRESSION = 10</v>
      </c>
    </row>
    <row r="10" spans="1:4" x14ac:dyDescent="0.35">
      <c r="A10" s="37" t="s">
        <v>255</v>
      </c>
      <c r="B10" s="37">
        <v>15</v>
      </c>
      <c r="D10" t="str">
        <f t="shared" si="0"/>
        <v>PHQ9_MODERATE_DEPRESSION = 15</v>
      </c>
    </row>
    <row r="11" spans="1:4" x14ac:dyDescent="0.35">
      <c r="A11" s="37" t="s">
        <v>719</v>
      </c>
      <c r="B11" s="37">
        <v>20</v>
      </c>
      <c r="D11" t="str">
        <f t="shared" si="0"/>
        <v>PHQ9_MODERATELY_SEVERE = 20</v>
      </c>
    </row>
    <row r="12" spans="1:4" x14ac:dyDescent="0.35">
      <c r="A12" s="37" t="s">
        <v>256</v>
      </c>
      <c r="B12" s="37">
        <v>60</v>
      </c>
      <c r="D12" t="str">
        <f t="shared" si="0"/>
        <v>HYPO_CRISIS_DIASTOLIC = 60</v>
      </c>
    </row>
    <row r="13" spans="1:4" x14ac:dyDescent="0.35">
      <c r="A13" s="37" t="s">
        <v>259</v>
      </c>
      <c r="B13" s="37">
        <v>90</v>
      </c>
      <c r="D13" t="str">
        <f t="shared" si="0"/>
        <v>HYPO_CRISIS_SYSTOLIC = 90</v>
      </c>
    </row>
    <row r="14" spans="1:4" x14ac:dyDescent="0.35">
      <c r="A14" s="37" t="s">
        <v>257</v>
      </c>
      <c r="B14" s="37">
        <v>80</v>
      </c>
      <c r="D14" t="str">
        <f t="shared" si="0"/>
        <v>NORMAL_DIASTOLIC = 80</v>
      </c>
    </row>
    <row r="15" spans="1:4" x14ac:dyDescent="0.35">
      <c r="A15" s="37" t="s">
        <v>260</v>
      </c>
      <c r="B15" s="37">
        <v>120</v>
      </c>
      <c r="D15" t="str">
        <f t="shared" si="0"/>
        <v>NORMAL_SYSTOLIC = 120</v>
      </c>
    </row>
    <row r="16" spans="1:4" x14ac:dyDescent="0.35">
      <c r="A16" s="37" t="s">
        <v>258</v>
      </c>
      <c r="B16" s="37">
        <v>80</v>
      </c>
      <c r="D16" t="str">
        <f t="shared" si="0"/>
        <v>ELEVATED_DIASTOLIC = 80</v>
      </c>
    </row>
    <row r="17" spans="1:4" x14ac:dyDescent="0.35">
      <c r="A17" s="37" t="s">
        <v>261</v>
      </c>
      <c r="B17" s="37">
        <v>130</v>
      </c>
      <c r="D17" t="str">
        <f t="shared" si="0"/>
        <v>ELEVATED_SYSTOLIC = 130</v>
      </c>
    </row>
    <row r="18" spans="1:4" x14ac:dyDescent="0.35">
      <c r="A18" s="37" t="s">
        <v>262</v>
      </c>
      <c r="B18" s="37">
        <v>90</v>
      </c>
      <c r="D18" t="str">
        <f t="shared" si="0"/>
        <v>STAGE_1_DIASTOLIC = 90</v>
      </c>
    </row>
    <row r="19" spans="1:4" x14ac:dyDescent="0.35">
      <c r="A19" s="37" t="s">
        <v>263</v>
      </c>
      <c r="B19" s="37">
        <v>140</v>
      </c>
      <c r="D19" t="str">
        <f t="shared" si="0"/>
        <v>STAGE_1_SYSTOLIC = 140</v>
      </c>
    </row>
    <row r="20" spans="1:4" x14ac:dyDescent="0.35">
      <c r="A20" s="37" t="s">
        <v>264</v>
      </c>
      <c r="B20" s="37">
        <v>120</v>
      </c>
      <c r="D20" t="str">
        <f t="shared" si="0"/>
        <v>STAGE_2_DIASTOLIC = 120</v>
      </c>
    </row>
    <row r="21" spans="1:4" x14ac:dyDescent="0.35">
      <c r="A21" s="37" t="s">
        <v>265</v>
      </c>
      <c r="B21" s="37">
        <v>180</v>
      </c>
      <c r="D21" t="str">
        <f t="shared" si="0"/>
        <v>STAGE_2_SYSTOLIC = 180</v>
      </c>
    </row>
    <row r="22" spans="1:4" x14ac:dyDescent="0.35">
      <c r="A22" s="37" t="s">
        <v>268</v>
      </c>
      <c r="B22" s="37">
        <v>56</v>
      </c>
      <c r="D22" t="str">
        <f t="shared" si="0"/>
        <v>HYPO_CRISIS_FASTING = 56</v>
      </c>
    </row>
    <row r="23" spans="1:4" x14ac:dyDescent="0.35">
      <c r="A23" s="37" t="s">
        <v>269</v>
      </c>
      <c r="B23" s="37">
        <v>66</v>
      </c>
      <c r="D23" t="str">
        <f t="shared" si="0"/>
        <v>HYPO_CRISIS_NONFASTING = 66</v>
      </c>
    </row>
    <row r="24" spans="1:4" x14ac:dyDescent="0.35">
      <c r="A24" s="37" t="s">
        <v>270</v>
      </c>
      <c r="B24" s="37">
        <v>80</v>
      </c>
      <c r="D24" t="str">
        <f t="shared" si="0"/>
        <v>HYPO_STAGE_1_FASTING = 80</v>
      </c>
    </row>
    <row r="25" spans="1:4" x14ac:dyDescent="0.35">
      <c r="A25" s="37" t="s">
        <v>271</v>
      </c>
      <c r="B25" s="37">
        <v>90</v>
      </c>
      <c r="D25" t="str">
        <f t="shared" si="0"/>
        <v>HYPO_STAGE_1_NONFASTING = 90</v>
      </c>
    </row>
    <row r="26" spans="1:4" x14ac:dyDescent="0.35">
      <c r="A26" s="37" t="s">
        <v>272</v>
      </c>
      <c r="B26" s="37">
        <v>110</v>
      </c>
      <c r="D26" t="str">
        <f t="shared" si="0"/>
        <v>NORMAL_FASTING = 110</v>
      </c>
    </row>
    <row r="27" spans="1:4" x14ac:dyDescent="0.35">
      <c r="A27" s="37" t="s">
        <v>273</v>
      </c>
      <c r="B27" s="37">
        <v>140</v>
      </c>
      <c r="D27" t="str">
        <f t="shared" si="0"/>
        <v>NORMAL_NONFASTING = 140</v>
      </c>
    </row>
    <row r="28" spans="1:4" x14ac:dyDescent="0.35">
      <c r="A28" s="37" t="s">
        <v>274</v>
      </c>
      <c r="B28" s="37">
        <v>140</v>
      </c>
      <c r="D28" t="str">
        <f t="shared" si="0"/>
        <v>ELEVATED_FASTING = 140</v>
      </c>
    </row>
    <row r="29" spans="1:4" x14ac:dyDescent="0.35">
      <c r="A29" s="37" t="s">
        <v>275</v>
      </c>
      <c r="B29" s="37">
        <v>170</v>
      </c>
      <c r="D29" t="str">
        <f t="shared" si="0"/>
        <v>ELEVATED_NONFASTING = 170</v>
      </c>
    </row>
    <row r="30" spans="1:4" x14ac:dyDescent="0.35">
      <c r="A30" s="37" t="s">
        <v>276</v>
      </c>
      <c r="B30" s="37">
        <v>190</v>
      </c>
      <c r="D30" t="str">
        <f t="shared" si="0"/>
        <v>STAGE_1_FASTING = 190</v>
      </c>
    </row>
    <row r="31" spans="1:4" x14ac:dyDescent="0.35">
      <c r="A31" s="37" t="s">
        <v>277</v>
      </c>
      <c r="B31" s="37">
        <v>220</v>
      </c>
      <c r="D31" t="str">
        <f t="shared" si="0"/>
        <v>STAGE_1_NONFASTING = 220</v>
      </c>
    </row>
    <row r="32" spans="1:4" x14ac:dyDescent="0.35">
      <c r="A32" s="37" t="s">
        <v>278</v>
      </c>
      <c r="B32" s="37">
        <v>240</v>
      </c>
      <c r="D32" t="str">
        <f t="shared" si="0"/>
        <v>STAGE_2_FASTING = 240</v>
      </c>
    </row>
    <row r="33" spans="1:4" x14ac:dyDescent="0.35">
      <c r="A33" s="37" t="s">
        <v>279</v>
      </c>
      <c r="B33" s="37">
        <v>270</v>
      </c>
      <c r="D33" t="str">
        <f t="shared" si="0"/>
        <v>STAGE_2_NONFASTING = 270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D73DA-5BEC-4560-8815-B159241D1BD7}">
  <sheetPr codeName="Sheet17"/>
  <dimension ref="A1:P137"/>
  <sheetViews>
    <sheetView zoomScale="85" zoomScaleNormal="85" workbookViewId="0">
      <pane xSplit="1" ySplit="1" topLeftCell="E131" activePane="bottomRight" state="frozenSplit"/>
      <selection pane="topRight" activeCell="E1" sqref="E1"/>
      <selection pane="bottomLeft" activeCell="A2" sqref="A2"/>
      <selection pane="bottomRight" activeCell="F144" sqref="F144"/>
    </sheetView>
  </sheetViews>
  <sheetFormatPr defaultRowHeight="14.5" x14ac:dyDescent="0.35"/>
  <cols>
    <col min="1" max="1" width="40.1796875" bestFit="1" customWidth="1"/>
    <col min="2" max="2" width="50.453125" bestFit="1" customWidth="1"/>
    <col min="3" max="3" width="59.54296875" bestFit="1" customWidth="1"/>
    <col min="4" max="4" width="96.26953125" bestFit="1" customWidth="1"/>
    <col min="5" max="5" width="54.1796875" bestFit="1" customWidth="1"/>
    <col min="6" max="6" width="48.6328125" bestFit="1" customWidth="1"/>
    <col min="8" max="8" width="8.7265625" customWidth="1"/>
  </cols>
  <sheetData>
    <row r="1" spans="1:16" x14ac:dyDescent="0.35">
      <c r="A1" t="s">
        <v>156</v>
      </c>
      <c r="B1" t="s">
        <v>284</v>
      </c>
      <c r="C1" t="s">
        <v>285</v>
      </c>
      <c r="D1" t="s">
        <v>286</v>
      </c>
      <c r="E1" t="s">
        <v>287</v>
      </c>
      <c r="F1" t="s">
        <v>288</v>
      </c>
      <c r="H1" t="s">
        <v>1401</v>
      </c>
    </row>
    <row r="2" spans="1:16" ht="16.5" x14ac:dyDescent="0.35">
      <c r="A2" t="s">
        <v>158</v>
      </c>
      <c r="B2" s="42" t="s">
        <v>289</v>
      </c>
      <c r="C2" t="s">
        <v>377</v>
      </c>
      <c r="D2" t="s">
        <v>463</v>
      </c>
      <c r="E2" t="s">
        <v>550</v>
      </c>
      <c r="F2" t="s">
        <v>637</v>
      </c>
      <c r="H2" t="str">
        <f t="shared" ref="H2:H33" si="0">CONCATENATE(H$1, "('",A2, "', '",B2,"', '",C2,"', '",D2,"', '",E2,"', '",F2,"', 'Raminder Ahlawat');")</f>
        <v>INSERT INTO QUESTIONNAIRE_LANGUAGE (NAME, HINDI, TELUGU, TAMIL, BENGALI, MARATHI, UPDATED_BY) VALUES('General', 'सामान्य', 'సాధారణం', 'பொதுவான', 'সাধারণ', 'सर्वसाधारण', 'Raminder Ahlawat');</v>
      </c>
      <c r="P2" t="str">
        <f>TRIM(G2)</f>
        <v/>
      </c>
    </row>
    <row r="3" spans="1:16" x14ac:dyDescent="0.35">
      <c r="A3" t="s">
        <v>171</v>
      </c>
      <c r="B3" t="s">
        <v>290</v>
      </c>
      <c r="C3" t="s">
        <v>378</v>
      </c>
      <c r="D3" t="s">
        <v>464</v>
      </c>
      <c r="E3" t="s">
        <v>551</v>
      </c>
      <c r="F3" t="s">
        <v>290</v>
      </c>
      <c r="H3" t="str">
        <f t="shared" si="0"/>
        <v>INSERT INTO QUESTIONNAIRE_LANGUAGE (NAME, HINDI, TELUGU, TAMIL, BENGALI, MARATHI, UPDATED_BY) VALUES('Gender', 'लिंग', 'లింగము', 'பாலினம்', 'লিঙ্গ', 'लिंग', 'Raminder Ahlawat');</v>
      </c>
    </row>
    <row r="4" spans="1:16" x14ac:dyDescent="0.35">
      <c r="A4" t="s">
        <v>172</v>
      </c>
      <c r="B4" t="s">
        <v>291</v>
      </c>
      <c r="C4" t="s">
        <v>379</v>
      </c>
      <c r="D4" t="s">
        <v>465</v>
      </c>
      <c r="E4" t="s">
        <v>552</v>
      </c>
      <c r="F4" t="s">
        <v>638</v>
      </c>
      <c r="H4" t="str">
        <f t="shared" si="0"/>
        <v>INSERT INTO QUESTIONNAIRE_LANGUAGE (NAME, HINDI, TELUGU, TAMIL, BENGALI, MARATHI, UPDATED_BY) VALUES('Age', 'उम्र', 'వయసు', 'வயது', 'বয়স', 'युग', 'Raminder Ahlawat');</v>
      </c>
    </row>
    <row r="5" spans="1:16" x14ac:dyDescent="0.35">
      <c r="A5" t="s">
        <v>163</v>
      </c>
      <c r="B5" t="s">
        <v>292</v>
      </c>
      <c r="C5" t="s">
        <v>163</v>
      </c>
      <c r="D5" t="s">
        <v>466</v>
      </c>
      <c r="E5" t="s">
        <v>553</v>
      </c>
      <c r="F5" t="s">
        <v>639</v>
      </c>
      <c r="H5" t="str">
        <f t="shared" si="0"/>
        <v>INSERT INTO QUESTIONNAIRE_LANGUAGE (NAME, HINDI, TELUGU, TAMIL, BENGALI, MARATHI, UPDATED_BY) VALUES('BMI', 'बीएमआई', 'BMI', 'பிஎம்ஐ', 'বিএমআই', 'बीएमआय', 'Raminder Ahlawat');</v>
      </c>
    </row>
    <row r="6" spans="1:16" x14ac:dyDescent="0.35">
      <c r="A6" t="s">
        <v>193</v>
      </c>
      <c r="B6" t="s">
        <v>293</v>
      </c>
      <c r="C6" t="s">
        <v>380</v>
      </c>
      <c r="D6" t="s">
        <v>467</v>
      </c>
      <c r="E6" t="s">
        <v>554</v>
      </c>
      <c r="F6" t="s">
        <v>640</v>
      </c>
      <c r="H6" t="str">
        <f t="shared" si="0"/>
        <v>INSERT INTO QUESTIONNAIRE_LANGUAGE (NAME, HINDI, TELUGU, TAMIL, BENGALI, MARATHI, UPDATED_BY) VALUES('Waist to Hip', 'कमर से कूल्हे तक', 'నడుము నుండి తుంటి వరకు', 'இடுப்பு முதல் இடுப்பு வரை', 'কোমর থেকে নিতম্ব', 'कंबर ते नितंब', 'Raminder Ahlawat');</v>
      </c>
    </row>
    <row r="7" spans="1:16" x14ac:dyDescent="0.35">
      <c r="A7" t="s">
        <v>164</v>
      </c>
      <c r="B7" t="s">
        <v>294</v>
      </c>
      <c r="C7" t="s">
        <v>381</v>
      </c>
      <c r="D7" t="s">
        <v>468</v>
      </c>
      <c r="E7" t="s">
        <v>555</v>
      </c>
      <c r="F7" t="s">
        <v>641</v>
      </c>
      <c r="H7" t="str">
        <f t="shared" si="0"/>
        <v>INSERT INTO QUESTIONNAIRE_LANGUAGE (NAME, HINDI, TELUGU, TAMIL, BENGALI, MARATHI, UPDATED_BY) VALUES('Sleep', 'नींद', 'నిద్ర', 'உறக்கம்', 'শয়ন', 'झोप', 'Raminder Ahlawat');</v>
      </c>
    </row>
    <row r="8" spans="1:16" x14ac:dyDescent="0.35">
      <c r="A8" t="s">
        <v>1</v>
      </c>
      <c r="B8" t="s">
        <v>295</v>
      </c>
      <c r="C8" t="s">
        <v>382</v>
      </c>
      <c r="D8" t="s">
        <v>469</v>
      </c>
      <c r="E8" t="s">
        <v>556</v>
      </c>
      <c r="F8" t="s">
        <v>642</v>
      </c>
      <c r="H8" t="str">
        <f t="shared" si="0"/>
        <v>INSERT INTO QUESTIONNAIRE_LANGUAGE (NAME, HINDI, TELUGU, TAMIL, BENGALI, MARATHI, UPDATED_BY) VALUES('How often do you fall sick?', 'आप कितनी बार बीमार पड़ते हैं?', 'మీరు ఎంత తరచుగా అనారోగ్యానికి గురవుతారు?', 'நீங்கள் எவ்வளவு அடிக்கடி நோய்வாய்ப்படுகிறீர்கள்?', 'আপনি কতবার অসুস্থ হয়ে পড়েন?', 'आपण किती वेळा आजारी पडता?', 'Raminder Ahlawat');</v>
      </c>
    </row>
    <row r="9" spans="1:16" x14ac:dyDescent="0.35">
      <c r="A9" t="s">
        <v>185</v>
      </c>
      <c r="B9" t="s">
        <v>296</v>
      </c>
      <c r="C9" t="s">
        <v>383</v>
      </c>
      <c r="D9" t="s">
        <v>470</v>
      </c>
      <c r="E9" t="s">
        <v>557</v>
      </c>
      <c r="F9" t="s">
        <v>643</v>
      </c>
      <c r="H9" t="str">
        <f t="shared" si="0"/>
        <v>INSERT INTO QUESTIONNAIRE_LANGUAGE (NAME, HINDI, TELUGU, TAMIL, BENGALI, MARATHI, UPDATED_BY) VALUES('How do you describe your bowel movement?', 'आप अपने मल त्याग का वर्णन कैसे करते हैं?', 'మీ ప్రేగు కదలికను మీరు ఎలా వివరిస్తారు?', 'உங்கள் குடல் இயக்கத்தை எவ்வாறு விவரிப்பது?', 'আপনি কীভাবে আপনার অন্ত্রের গতিবিধি বর্ণনা করবেন?', 'आपण आपल्या आतड्यांसंबंधी हालचालीचे वर्णन कसे कराल?', 'Raminder Ahlawat');</v>
      </c>
    </row>
    <row r="10" spans="1:16" x14ac:dyDescent="0.35">
      <c r="A10" t="s">
        <v>5</v>
      </c>
      <c r="B10" t="s">
        <v>297</v>
      </c>
      <c r="C10" t="s">
        <v>384</v>
      </c>
      <c r="D10" t="s">
        <v>471</v>
      </c>
      <c r="E10" t="s">
        <v>558</v>
      </c>
      <c r="F10" t="s">
        <v>644</v>
      </c>
      <c r="H10" t="str">
        <f t="shared" si="0"/>
        <v>INSERT INTO QUESTIONNAIRE_LANGUAGE (NAME, HINDI, TELUGU, TAMIL, BENGALI, MARATHI, UPDATED_BY) VALUES('Exercise Regime', 'व्यायाम शासन', 'వ్యాయామ విధానం', 'உடற்பயிற்சி முறை', 'ব্যায়াম শাসন', 'व्यायाम व्यवस्था', 'Raminder Ahlawat');</v>
      </c>
    </row>
    <row r="11" spans="1:16" x14ac:dyDescent="0.35">
      <c r="A11" t="s">
        <v>166</v>
      </c>
      <c r="B11" t="s">
        <v>298</v>
      </c>
      <c r="C11" t="s">
        <v>385</v>
      </c>
      <c r="D11" t="s">
        <v>472</v>
      </c>
      <c r="E11" t="s">
        <v>559</v>
      </c>
      <c r="F11" t="s">
        <v>645</v>
      </c>
      <c r="H11" t="str">
        <f t="shared" si="0"/>
        <v>INSERT INTO QUESTIONNAIRE_LANGUAGE (NAME, HINDI, TELUGU, TAMIL, BENGALI, MARATHI, UPDATED_BY) VALUES('Water Intake', 'पानी का सेवन', 'నీరు తీసుకోవడం', 'நீர் உட்கொள்ளல்', 'জল খাওয়া', 'पाण्याचे सेवन', 'Raminder Ahlawat');</v>
      </c>
    </row>
    <row r="12" spans="1:16" x14ac:dyDescent="0.35">
      <c r="A12" t="s">
        <v>186</v>
      </c>
      <c r="B12" t="s">
        <v>299</v>
      </c>
      <c r="C12" t="s">
        <v>386</v>
      </c>
      <c r="D12" t="s">
        <v>473</v>
      </c>
      <c r="E12" t="s">
        <v>560</v>
      </c>
      <c r="F12" t="s">
        <v>646</v>
      </c>
      <c r="H12" t="str">
        <f t="shared" si="0"/>
        <v>INSERT INTO QUESTIONNAIRE_LANGUAGE (NAME, HINDI, TELUGU, TAMIL, BENGALI, MARATHI, UPDATED_BY) VALUES('Do you have bad breath?', 'क्या आपके पास बुरा सांस है?', 'మీకు నోటి దుర్వాసన వస్తోందా?', 'வாய் துர்நாற்றம் உள்ளதா?', 'আপনার কি নিঃশ্বাসে দুর্গন্ধ হয়?', 'तुम्हाला श्वासाची दुर्गंधी आहे का?', 'Raminder Ahlawat');</v>
      </c>
    </row>
    <row r="13" spans="1:16" x14ac:dyDescent="0.35">
      <c r="A13" t="s">
        <v>187</v>
      </c>
      <c r="B13" t="s">
        <v>300</v>
      </c>
      <c r="C13" t="s">
        <v>387</v>
      </c>
      <c r="D13" t="s">
        <v>474</v>
      </c>
      <c r="E13" t="s">
        <v>561</v>
      </c>
      <c r="F13" t="s">
        <v>647</v>
      </c>
      <c r="H13" t="str">
        <f t="shared" si="0"/>
        <v>INSERT INTO QUESTIONNAIRE_LANGUAGE (NAME, HINDI, TELUGU, TAMIL, BENGALI, MARATHI, UPDATED_BY) VALUES('Do you have any allergies?', 'क्या आपको कोई एलर्जी है?', 'మీకు ఏవైనా అలెర్జీలు ఉన్నాయా?', 'உங்களுக்கு ஏதேனும் ஒவ்வாமை உள்ளதா?', 'আপনার কি কোন এলার্জি আছে?', 'तुम्हाला काही अॅलर्जी आहे का?', 'Raminder Ahlawat');</v>
      </c>
    </row>
    <row r="14" spans="1:16" x14ac:dyDescent="0.35">
      <c r="A14" t="s">
        <v>13</v>
      </c>
      <c r="B14" t="s">
        <v>301</v>
      </c>
      <c r="C14" t="s">
        <v>388</v>
      </c>
      <c r="D14" t="s">
        <v>475</v>
      </c>
      <c r="E14" t="s">
        <v>562</v>
      </c>
      <c r="F14" t="s">
        <v>648</v>
      </c>
      <c r="H14" t="str">
        <f t="shared" si="0"/>
        <v>INSERT INTO QUESTIONNAIRE_LANGUAGE (NAME, HINDI, TELUGU, TAMIL, BENGALI, MARATHI, UPDATED_BY) VALUES('Do you binge on food', 'क्या आप भोजन पर द्वि घातुमान करते हैं', 'మీరు అతిగా ఆహారం తీసుకుంటున్నారా?', 'நீங்கள் உணவை அதிகமாக சாப்பிடுகிறீர்களா', 'আপনি কি খাবার খেয়ে থাকেন', 'तुम्ही खाण्यापिण्याची सवय करता का?', 'Raminder Ahlawat');</v>
      </c>
    </row>
    <row r="15" spans="1:16" x14ac:dyDescent="0.35">
      <c r="A15" t="s">
        <v>188</v>
      </c>
      <c r="B15" t="s">
        <v>302</v>
      </c>
      <c r="C15" t="s">
        <v>389</v>
      </c>
      <c r="D15" t="s">
        <v>476</v>
      </c>
      <c r="E15" t="s">
        <v>563</v>
      </c>
      <c r="F15" t="s">
        <v>649</v>
      </c>
      <c r="H15" t="str">
        <f t="shared" si="0"/>
        <v>INSERT INTO QUESTIONNAIRE_LANGUAGE (NAME, HINDI, TELUGU, TAMIL, BENGALI, MARATHI, UPDATED_BY) VALUES('Do you usually feel sad, depressed or anxious?', 'क्या आप आमतौर पर उदास, उदास या चिंतित महसूस करते हैं?', 'మీరు సాధారణంగా విచారంగా, నిరాశగా లేదా ఆత్రుతగా ఉన్నారా?', 'நீங்கள் வழக்கமாக சோகமாக, மனச்சோர்வாக அல்லது கவலையாக உணர்கிறீர்களா?', 'আপনি কি সাধারণত দু: খিত, হতাশাগ্রস্থ বা উদ্বিগ্ন বোধ করেন?', 'आपण सहसा उदास, उदास किंवा चिंताग्रस्त आहात का?', 'Raminder Ahlawat');</v>
      </c>
    </row>
    <row r="16" spans="1:16" x14ac:dyDescent="0.35">
      <c r="A16" t="s">
        <v>189</v>
      </c>
      <c r="B16" t="s">
        <v>303</v>
      </c>
      <c r="C16" t="s">
        <v>390</v>
      </c>
      <c r="D16" t="s">
        <v>477</v>
      </c>
      <c r="E16" t="s">
        <v>564</v>
      </c>
      <c r="F16" t="s">
        <v>650</v>
      </c>
      <c r="H16" t="str">
        <f t="shared" si="0"/>
        <v>INSERT INTO QUESTIONNAIRE_LANGUAGE (NAME, HINDI, TELUGU, TAMIL, BENGALI, MARATHI, UPDATED_BY) VALUES('How will you describe the health of you hair?', 'आप अपने बालों के स्वास्थ्य का वर्णन कैसे करेंगे?', 'మీ జుట్టు యొక్క ఆరోగ్యాన్ని మీరు ఎలా వివరిస్తారు?', 'உங்கள் கூந்தலின் ஆரோக்கியத்தை எப்படி விவரிப்பீர்கள்?', 'আপনার চুলের স্বাস্থ্য কীভাবে বর্ণনা করবেন?', 'आपल्या केसांच्या आरोग्याचे वर्णन कसे कराल?', 'Raminder Ahlawat');</v>
      </c>
    </row>
    <row r="17" spans="1:8" x14ac:dyDescent="0.35">
      <c r="A17" t="s">
        <v>190</v>
      </c>
      <c r="B17" t="s">
        <v>304</v>
      </c>
      <c r="C17" t="s">
        <v>391</v>
      </c>
      <c r="D17" t="s">
        <v>478</v>
      </c>
      <c r="E17" t="s">
        <v>565</v>
      </c>
      <c r="F17" t="s">
        <v>651</v>
      </c>
      <c r="H17" t="str">
        <f t="shared" si="0"/>
        <v>INSERT INTO QUESTIONNAIRE_LANGUAGE (NAME, HINDI, TELUGU, TAMIL, BENGALI, MARATHI, UPDATED_BY) VALUES('How would you describe skin health?', 'आप त्वचा के स्वास्थ्य का वर्णन कैसे करेंगे?', 'చర్మ ఆరోగ్యాన్ని మీరు ఎలా వివరిస్తారు?', 'தோல் ஆரோக்கியத்தை எவ்வாறு விவரிப்பீர்கள்?', 'আপনি ত্বকের স্বাস্থ্য কীভাবে বর্ণনা করবেন?', 'आपण त्वचेच्या आरोग्याचे वर्णन कसे कराल?', 'Raminder Ahlawat');</v>
      </c>
    </row>
    <row r="18" spans="1:8" x14ac:dyDescent="0.35">
      <c r="A18" t="s">
        <v>54</v>
      </c>
      <c r="B18" t="s">
        <v>305</v>
      </c>
      <c r="C18" t="s">
        <v>392</v>
      </c>
      <c r="D18" t="s">
        <v>479</v>
      </c>
      <c r="E18" t="s">
        <v>566</v>
      </c>
      <c r="F18" t="s">
        <v>652</v>
      </c>
      <c r="H18" t="str">
        <f t="shared" si="0"/>
        <v>INSERT INTO QUESTIONNAIRE_LANGUAGE (NAME, HINDI, TELUGU, TAMIL, BENGALI, MARATHI, UPDATED_BY) VALUES('Menstrual Health', 'मासिक धर्म स्वास्थ्य', 'రుతుక్రమ ఆరోగ్యం', 'மாதவிடாய் ஆரோக்கியம்', 'মাসিক স্বাস্থ্য', 'मासिक पाळीचे आरोग्य', 'Raminder Ahlawat');</v>
      </c>
    </row>
    <row r="19" spans="1:8" x14ac:dyDescent="0.35">
      <c r="A19" t="s">
        <v>55</v>
      </c>
      <c r="B19" t="s">
        <v>306</v>
      </c>
      <c r="C19" t="s">
        <v>393</v>
      </c>
      <c r="D19" t="s">
        <v>480</v>
      </c>
      <c r="E19" t="s">
        <v>567</v>
      </c>
      <c r="F19" t="s">
        <v>306</v>
      </c>
      <c r="H19" t="str">
        <f t="shared" si="0"/>
        <v>INSERT INTO QUESTIONNAIRE_LANGUAGE (NAME, HINDI, TELUGU, TAMIL, BENGALI, MARATHI, UPDATED_BY) VALUES('Fasting', 'उपवास', 'ఉపవాసం', 'உண்ணாவிரதம்', 'রোজা রাখা', 'उपवास', 'Raminder Ahlawat');</v>
      </c>
    </row>
    <row r="20" spans="1:8" x14ac:dyDescent="0.35">
      <c r="A20" t="s">
        <v>56</v>
      </c>
      <c r="B20" t="s">
        <v>307</v>
      </c>
      <c r="C20" t="s">
        <v>56</v>
      </c>
      <c r="D20" t="s">
        <v>56</v>
      </c>
      <c r="E20" t="s">
        <v>56</v>
      </c>
      <c r="F20" t="s">
        <v>653</v>
      </c>
      <c r="H20" t="str">
        <f t="shared" si="0"/>
        <v>INSERT INTO QUESTIONNAIRE_LANGUAGE (NAME, HINDI, TELUGU, TAMIL, BENGALI, MARATHI, UPDATED_BY) VALUES('Phq9', 'पीएचक्यू9', 'Phq9', 'Phq9', 'Phq9', 'पीएचक्यू 9', 'Raminder Ahlawat');</v>
      </c>
    </row>
    <row r="21" spans="1:8" x14ac:dyDescent="0.35">
      <c r="A21" t="s">
        <v>57</v>
      </c>
      <c r="B21" t="s">
        <v>308</v>
      </c>
      <c r="C21" t="s">
        <v>394</v>
      </c>
      <c r="D21" t="s">
        <v>481</v>
      </c>
      <c r="E21" t="s">
        <v>568</v>
      </c>
      <c r="F21" t="s">
        <v>308</v>
      </c>
      <c r="H21" t="str">
        <f t="shared" si="0"/>
        <v>INSERT INTO QUESTIONNAIRE_LANGUAGE (NAME, HINDI, TELUGU, TAMIL, BENGALI, MARATHI, UPDATED_BY) VALUES('BP', 'बीपी', 'బి.పి.', 'பி.பி.', 'বি.পি.', 'बीपी', 'Raminder Ahlawat');</v>
      </c>
    </row>
    <row r="22" spans="1:8" x14ac:dyDescent="0.35">
      <c r="A22" t="s">
        <v>58</v>
      </c>
      <c r="B22" t="s">
        <v>309</v>
      </c>
      <c r="C22" t="s">
        <v>395</v>
      </c>
      <c r="D22" t="s">
        <v>482</v>
      </c>
      <c r="E22" t="s">
        <v>569</v>
      </c>
      <c r="F22" t="s">
        <v>654</v>
      </c>
      <c r="H22" t="str">
        <f t="shared" si="0"/>
        <v>INSERT INTO QUESTIONNAIRE_LANGUAGE (NAME, HINDI, TELUGU, TAMIL, BENGALI, MARATHI, UPDATED_BY) VALUES('Glucose', 'ग्‍लूकोज़', 'గ్లూకోజ్', 'குளுக்கோஸ்', 'গ্লুকোজ', 'ग्लूकोज', 'Raminder Ahlawat');</v>
      </c>
    </row>
    <row r="23" spans="1:8" x14ac:dyDescent="0.35">
      <c r="A23" t="s">
        <v>849</v>
      </c>
      <c r="B23" t="s">
        <v>310</v>
      </c>
      <c r="C23" t="s">
        <v>396</v>
      </c>
      <c r="D23" t="s">
        <v>483</v>
      </c>
      <c r="E23" t="s">
        <v>570</v>
      </c>
      <c r="F23" t="s">
        <v>655</v>
      </c>
      <c r="H23" t="str">
        <f t="shared" si="0"/>
        <v>INSERT INTO QUESTIONNAIRE_LANGUAGE (NAME, HINDI, TELUGU, TAMIL, BENGALI, MARATHI, UPDATED_BY) VALUES('Woman', 'मादा', 'ఆడ', 'பெண்', 'নারী', 'मादी', 'Raminder Ahlawat');</v>
      </c>
    </row>
    <row r="24" spans="1:8" x14ac:dyDescent="0.35">
      <c r="A24" t="s">
        <v>850</v>
      </c>
      <c r="B24" t="s">
        <v>311</v>
      </c>
      <c r="C24" t="s">
        <v>397</v>
      </c>
      <c r="D24" t="s">
        <v>484</v>
      </c>
      <c r="E24" t="s">
        <v>571</v>
      </c>
      <c r="F24" t="s">
        <v>311</v>
      </c>
      <c r="H24" t="str">
        <f t="shared" si="0"/>
        <v>INSERT INTO QUESTIONNAIRE_LANGUAGE (NAME, HINDI, TELUGU, TAMIL, BENGALI, MARATHI, UPDATED_BY) VALUES('Man', 'पुरुष', 'మగ', 'ஆண்', 'পুরুষ', 'पुरुष', 'Raminder Ahlawat');</v>
      </c>
    </row>
    <row r="25" spans="1:8" x14ac:dyDescent="0.35">
      <c r="A25" s="35" t="s">
        <v>177</v>
      </c>
      <c r="B25" s="35" t="s">
        <v>312</v>
      </c>
      <c r="C25" t="s">
        <v>398</v>
      </c>
      <c r="D25" t="s">
        <v>485</v>
      </c>
      <c r="E25" t="s">
        <v>572</v>
      </c>
      <c r="F25" t="s">
        <v>656</v>
      </c>
      <c r="H25" t="str">
        <f t="shared" si="0"/>
        <v>INSERT INTO QUESTIONNAIRE_LANGUAGE (NAME, HINDI, TELUGU, TAMIL, BENGALI, MARATHI, UPDATED_BY) VALUES('20 years under', '20 वर्ष से कम', '20 సంవత్సరాల కంటే తక్కువ', '20 ஆண்டுகளின் கீழ்', '২০ বছরের নিচে', '20 वर्षाखालील', 'Raminder Ahlawat');</v>
      </c>
    </row>
    <row r="26" spans="1:8" x14ac:dyDescent="0.35">
      <c r="A26" s="35" t="s">
        <v>207</v>
      </c>
      <c r="B26" s="35" t="s">
        <v>313</v>
      </c>
      <c r="C26" t="s">
        <v>399</v>
      </c>
      <c r="D26" t="s">
        <v>486</v>
      </c>
      <c r="E26" t="s">
        <v>573</v>
      </c>
      <c r="F26" t="s">
        <v>657</v>
      </c>
      <c r="H26" t="str">
        <f t="shared" si="0"/>
        <v>INSERT INTO QUESTIONNAIRE_LANGUAGE (NAME, HINDI, TELUGU, TAMIL, BENGALI, MARATHI, UPDATED_BY) VALUES('20 - 29 years', '20 - 29 वर्ष', '20 - 29 సంవత్సరాలు', '20 - 29 ஆண்டுகள்', '20 - 29 বছর', '२० - २९ वर्षे', 'Raminder Ahlawat');</v>
      </c>
    </row>
    <row r="27" spans="1:8" x14ac:dyDescent="0.35">
      <c r="A27" s="35" t="s">
        <v>208</v>
      </c>
      <c r="B27" s="35" t="s">
        <v>314</v>
      </c>
      <c r="C27" t="s">
        <v>400</v>
      </c>
      <c r="D27" t="s">
        <v>487</v>
      </c>
      <c r="E27" t="s">
        <v>574</v>
      </c>
      <c r="F27" t="s">
        <v>658</v>
      </c>
      <c r="H27" t="str">
        <f t="shared" si="0"/>
        <v>INSERT INTO QUESTIONNAIRE_LANGUAGE (NAME, HINDI, TELUGU, TAMIL, BENGALI, MARATHI, UPDATED_BY) VALUES('30 - 39 years', '30 - 39 वर्ष', '30 - 39 సంవత్సరాలు', '30 - 39 ஆண்டுகள்', '30 - 39 বছর', '३० - ३९ वर्षे', 'Raminder Ahlawat');</v>
      </c>
    </row>
    <row r="28" spans="1:8" x14ac:dyDescent="0.35">
      <c r="A28" s="35" t="s">
        <v>209</v>
      </c>
      <c r="B28" s="35" t="s">
        <v>315</v>
      </c>
      <c r="C28" t="s">
        <v>401</v>
      </c>
      <c r="D28" t="s">
        <v>488</v>
      </c>
      <c r="E28" t="s">
        <v>575</v>
      </c>
      <c r="F28" t="s">
        <v>659</v>
      </c>
      <c r="H28" t="str">
        <f t="shared" si="0"/>
        <v>INSERT INTO QUESTIONNAIRE_LANGUAGE (NAME, HINDI, TELUGU, TAMIL, BENGALI, MARATHI, UPDATED_BY) VALUES('40 - 49 years', '40 - 49 वर्ष', '40 - 49 సంవత్సరాలు', '40 - 49 ஆண்டுகள்', '40 - 49 বছর', '४० - ४९ वर्षे', 'Raminder Ahlawat');</v>
      </c>
    </row>
    <row r="29" spans="1:8" x14ac:dyDescent="0.35">
      <c r="A29" s="35" t="s">
        <v>210</v>
      </c>
      <c r="B29" s="35" t="s">
        <v>316</v>
      </c>
      <c r="C29" t="s">
        <v>402</v>
      </c>
      <c r="D29" t="s">
        <v>489</v>
      </c>
      <c r="E29" t="s">
        <v>576</v>
      </c>
      <c r="F29" t="s">
        <v>660</v>
      </c>
      <c r="H29" t="str">
        <f t="shared" si="0"/>
        <v>INSERT INTO QUESTIONNAIRE_LANGUAGE (NAME, HINDI, TELUGU, TAMIL, BENGALI, MARATHI, UPDATED_BY) VALUES('50 - 59 years', '50 - 59 वर्ष', '50 - 59 సంవత్సరాలు', '50 - 59 ஆண்டுகள்', '50 - 59 বছর', '५० - ५९ वर्षे', 'Raminder Ahlawat');</v>
      </c>
    </row>
    <row r="30" spans="1:8" x14ac:dyDescent="0.35">
      <c r="A30" s="35" t="s">
        <v>211</v>
      </c>
      <c r="B30" s="35" t="s">
        <v>317</v>
      </c>
      <c r="C30" t="s">
        <v>403</v>
      </c>
      <c r="D30" t="s">
        <v>490</v>
      </c>
      <c r="E30" t="s">
        <v>577</v>
      </c>
      <c r="F30" t="s">
        <v>661</v>
      </c>
      <c r="H30" t="str">
        <f t="shared" si="0"/>
        <v>INSERT INTO QUESTIONNAIRE_LANGUAGE (NAME, HINDI, TELUGU, TAMIL, BENGALI, MARATHI, UPDATED_BY) VALUES('60 - 69 years', '60 - 69 वर्ष', '60 - 69 సంవత్సరాలు', '60 - 69 ஆண்டுகள்', '60 - 69 বছর', '६० - ६९ वर्षे', 'Raminder Ahlawat');</v>
      </c>
    </row>
    <row r="31" spans="1:8" x14ac:dyDescent="0.35">
      <c r="A31" s="35" t="s">
        <v>212</v>
      </c>
      <c r="B31" s="35" t="s">
        <v>318</v>
      </c>
      <c r="C31" t="s">
        <v>404</v>
      </c>
      <c r="D31" t="s">
        <v>491</v>
      </c>
      <c r="E31" t="s">
        <v>578</v>
      </c>
      <c r="F31" t="s">
        <v>662</v>
      </c>
      <c r="H31" t="str">
        <f t="shared" si="0"/>
        <v>INSERT INTO QUESTIONNAIRE_LANGUAGE (NAME, HINDI, TELUGU, TAMIL, BENGALI, MARATHI, UPDATED_BY) VALUES('70 - 79 years', '70 - 79 वर्ष', '70 - 79 సంవత్సరాలు', '70 - 79 ஆண்டுகள்', '70 - 79 বছর', '७० - ७९ वर्षे', 'Raminder Ahlawat');</v>
      </c>
    </row>
    <row r="32" spans="1:8" x14ac:dyDescent="0.35">
      <c r="A32" s="35" t="s">
        <v>178</v>
      </c>
      <c r="B32" s="35" t="s">
        <v>319</v>
      </c>
      <c r="C32" t="s">
        <v>405</v>
      </c>
      <c r="D32" t="s">
        <v>492</v>
      </c>
      <c r="E32" t="s">
        <v>579</v>
      </c>
      <c r="F32" t="s">
        <v>663</v>
      </c>
      <c r="H32" t="str">
        <f t="shared" si="0"/>
        <v>INSERT INTO QUESTIONNAIRE_LANGUAGE (NAME, HINDI, TELUGU, TAMIL, BENGALI, MARATHI, UPDATED_BY) VALUES('80 years and over', '80 वर्ष और उससे अधिक', '80 సంవత్సరాలు మరియు అంతకంటే ఎక్కువ', '80 ஆண்டுகள் மற்றும் அதற்கு மேல்', '80 বছর এবং তার বেশি', '८० वर्षे आणि त्याहून अधिक', 'Raminder Ahlawat');</v>
      </c>
    </row>
    <row r="33" spans="1:8" x14ac:dyDescent="0.35">
      <c r="A33" t="s">
        <v>179</v>
      </c>
      <c r="B33" t="s">
        <v>320</v>
      </c>
      <c r="C33" t="s">
        <v>406</v>
      </c>
      <c r="D33" t="s">
        <v>493</v>
      </c>
      <c r="E33" t="s">
        <v>580</v>
      </c>
      <c r="F33" t="s">
        <v>664</v>
      </c>
      <c r="H33" t="str">
        <f t="shared" si="0"/>
        <v>INSERT INTO QUESTIONNAIRE_LANGUAGE (NAME, HINDI, TELUGU, TAMIL, BENGALI, MARATHI, UPDATED_BY) VALUES('Under Weight', 'वजन के तहत', 'బరువు కంటే తక్కువ', 'எடையின் கீழ்', 'ওজন কম', 'कमी वजनाचे', 'Raminder Ahlawat');</v>
      </c>
    </row>
    <row r="34" spans="1:8" x14ac:dyDescent="0.35">
      <c r="A34" t="s">
        <v>180</v>
      </c>
      <c r="B34" t="s">
        <v>321</v>
      </c>
      <c r="C34" t="s">
        <v>407</v>
      </c>
      <c r="D34" t="s">
        <v>494</v>
      </c>
      <c r="E34" t="s">
        <v>581</v>
      </c>
      <c r="F34" t="s">
        <v>321</v>
      </c>
      <c r="H34" t="str">
        <f t="shared" ref="H34:H65" si="1">CONCATENATE(H$1, "('",A34, "', '",B34,"', '",C34,"', '",D34,"', '",E34,"', '",F34,"', 'Raminder Ahlawat');")</f>
        <v>INSERT INTO QUESTIONNAIRE_LANGUAGE (NAME, HINDI, TELUGU, TAMIL, BENGALI, MARATHI, UPDATED_BY) VALUES('Normal Weight', 'सामान्य वजन', 'సాధారణ బరువు', 'சாதாரண எடை', 'স্বাভাবিক ওজন', 'सामान्य वजन', 'Raminder Ahlawat');</v>
      </c>
    </row>
    <row r="35" spans="1:8" x14ac:dyDescent="0.35">
      <c r="A35" t="s">
        <v>181</v>
      </c>
      <c r="B35" t="s">
        <v>322</v>
      </c>
      <c r="C35" t="s">
        <v>408</v>
      </c>
      <c r="D35" t="s">
        <v>495</v>
      </c>
      <c r="E35" t="s">
        <v>582</v>
      </c>
      <c r="F35" t="s">
        <v>665</v>
      </c>
      <c r="H35" t="str">
        <f t="shared" si="1"/>
        <v>INSERT INTO QUESTIONNAIRE_LANGUAGE (NAME, HINDI, TELUGU, TAMIL, BENGALI, MARATHI, UPDATED_BY) VALUES('Over weight', 'अधिक वजन', 'అధిక బరువు', 'அதிக எடை', 'অতিরিক্ত ওজন', 'वजन जास्त', 'Raminder Ahlawat');</v>
      </c>
    </row>
    <row r="36" spans="1:8" x14ac:dyDescent="0.35">
      <c r="A36" t="s">
        <v>182</v>
      </c>
      <c r="B36" t="s">
        <v>323</v>
      </c>
      <c r="C36" t="s">
        <v>409</v>
      </c>
      <c r="D36" t="s">
        <v>496</v>
      </c>
      <c r="E36" t="s">
        <v>583</v>
      </c>
      <c r="F36" t="s">
        <v>666</v>
      </c>
      <c r="H36" t="str">
        <f t="shared" si="1"/>
        <v>INSERT INTO QUESTIONNAIRE_LANGUAGE (NAME, HINDI, TELUGU, TAMIL, BENGALI, MARATHI, UPDATED_BY) VALUES('Obese', 'स्थूलकाय', 'లావైన', 'கொழுத்த', 'স্থূলকায়', 'लठ्ठपणा', 'Raminder Ahlawat');</v>
      </c>
    </row>
    <row r="37" spans="1:8" x14ac:dyDescent="0.35">
      <c r="A37" t="s">
        <v>48</v>
      </c>
      <c r="B37" t="s">
        <v>324</v>
      </c>
      <c r="C37" t="s">
        <v>410</v>
      </c>
      <c r="D37" t="s">
        <v>497</v>
      </c>
      <c r="E37" t="s">
        <v>584</v>
      </c>
      <c r="F37" t="s">
        <v>667</v>
      </c>
      <c r="H37" t="str">
        <f t="shared" si="1"/>
        <v>INSERT INTO QUESTIONNAIRE_LANGUAGE (NAME, HINDI, TELUGU, TAMIL, BENGALI, MARATHI, UPDATED_BY) VALUES('Excellent', 'अति उत्कृष्ट', 'ఉత్తమ', 'மிகச்சிறந்த', 'চমৎকার', 'उत्कृष्ट', 'Raminder Ahlawat');</v>
      </c>
    </row>
    <row r="38" spans="1:8" x14ac:dyDescent="0.35">
      <c r="A38" t="s">
        <v>47</v>
      </c>
      <c r="B38" t="s">
        <v>325</v>
      </c>
      <c r="C38" t="s">
        <v>411</v>
      </c>
      <c r="D38" t="s">
        <v>498</v>
      </c>
      <c r="E38" t="s">
        <v>585</v>
      </c>
      <c r="F38" t="s">
        <v>668</v>
      </c>
      <c r="H38" t="str">
        <f t="shared" si="1"/>
        <v>INSERT INTO QUESTIONNAIRE_LANGUAGE (NAME, HINDI, TELUGU, TAMIL, BENGALI, MARATHI, UPDATED_BY) VALUES('Good', 'अच्छा', 'యోగ్యమైన', 'நல்லது', 'ভালো', 'चांगला', 'Raminder Ahlawat');</v>
      </c>
    </row>
    <row r="39" spans="1:8" x14ac:dyDescent="0.35">
      <c r="A39" t="s">
        <v>191</v>
      </c>
      <c r="B39" t="s">
        <v>326</v>
      </c>
      <c r="C39" t="s">
        <v>412</v>
      </c>
      <c r="D39" t="s">
        <v>499</v>
      </c>
      <c r="E39" t="s">
        <v>586</v>
      </c>
      <c r="F39" t="s">
        <v>669</v>
      </c>
      <c r="H39" t="str">
        <f t="shared" si="1"/>
        <v>INSERT INTO QUESTIONNAIRE_LANGUAGE (NAME, HINDI, TELUGU, TAMIL, BENGALI, MARATHI, UPDATED_BY) VALUES('Average', 'औसत निकालना', 'సగటు', 'சராசரி', 'গড়', 'सरासरी', 'Raminder Ahlawat');</v>
      </c>
    </row>
    <row r="40" spans="1:8" x14ac:dyDescent="0.35">
      <c r="A40" t="s">
        <v>192</v>
      </c>
      <c r="B40" t="s">
        <v>327</v>
      </c>
      <c r="C40" t="s">
        <v>413</v>
      </c>
      <c r="D40" t="s">
        <v>500</v>
      </c>
      <c r="E40" t="s">
        <v>587</v>
      </c>
      <c r="F40" t="s">
        <v>670</v>
      </c>
      <c r="H40" t="str">
        <f t="shared" si="1"/>
        <v>INSERT INTO QUESTIONNAIRE_LANGUAGE (NAME, HINDI, TELUGU, TAMIL, BENGALI, MARATHI, UPDATED_BY) VALUES('At Risk', 'जोखिम में', 'రిస్క్ లో', 'ஆபத்தில்', 'ঝুঁকিতে', 'धोका', 'Raminder Ahlawat');</v>
      </c>
    </row>
    <row r="41" spans="1:8" x14ac:dyDescent="0.35">
      <c r="A41" t="s">
        <v>231</v>
      </c>
      <c r="B41" t="s">
        <v>328</v>
      </c>
      <c r="C41" t="s">
        <v>414</v>
      </c>
      <c r="D41" t="s">
        <v>501</v>
      </c>
      <c r="E41" t="s">
        <v>588</v>
      </c>
      <c r="F41" t="s">
        <v>671</v>
      </c>
      <c r="H41" t="str">
        <f t="shared" si="1"/>
        <v>INSERT INTO QUESTIONNAIRE_LANGUAGE (NAME, HINDI, TELUGU, TAMIL, BENGALI, MARATHI, UPDATED_BY) VALUES('Healthy Sleep', 'स्वस्थ नींद', 'ఆరోగ్యకరమైన నిద్ర', 'ஆரோக்கியமான தூக்கம்', 'স্বাস্থ্যকর ঘুম', 'निरोगी झोप', 'Raminder Ahlawat');</v>
      </c>
    </row>
    <row r="42" spans="1:8" x14ac:dyDescent="0.35">
      <c r="A42" t="s">
        <v>232</v>
      </c>
      <c r="B42" t="s">
        <v>329</v>
      </c>
      <c r="C42" t="s">
        <v>415</v>
      </c>
      <c r="D42" t="s">
        <v>502</v>
      </c>
      <c r="E42" t="s">
        <v>589</v>
      </c>
      <c r="F42" t="s">
        <v>672</v>
      </c>
      <c r="H42" t="str">
        <f t="shared" si="1"/>
        <v>INSERT INTO QUESTIONNAIRE_LANGUAGE (NAME, HINDI, TELUGU, TAMIL, BENGALI, MARATHI, UPDATED_BY) VALUES('Average Sleep', 'औसत नींद', 'సగటు నిద్ర', 'சராசரி தூக்கம்', 'গড় ঘুম', 'सरासरी झोप', 'Raminder Ahlawat');</v>
      </c>
    </row>
    <row r="43" spans="1:8" x14ac:dyDescent="0.35">
      <c r="A43" t="s">
        <v>233</v>
      </c>
      <c r="B43" t="s">
        <v>330</v>
      </c>
      <c r="C43" t="s">
        <v>416</v>
      </c>
      <c r="D43" t="s">
        <v>503</v>
      </c>
      <c r="E43" t="s">
        <v>590</v>
      </c>
      <c r="F43" t="s">
        <v>673</v>
      </c>
      <c r="H43" t="str">
        <f t="shared" si="1"/>
        <v>INSERT INTO QUESTIONNAIRE_LANGUAGE (NAME, HINDI, TELUGU, TAMIL, BENGALI, MARATHI, UPDATED_BY) VALUES('Under Sleep', 'नींद के तहत', 'నిద్రలో', 'தூக்கத்தின் கீழ்', 'আন্ডার স্লিপ', 'झोपेत', 'Raminder Ahlawat');</v>
      </c>
    </row>
    <row r="44" spans="1:8" x14ac:dyDescent="0.35">
      <c r="A44" t="s">
        <v>234</v>
      </c>
      <c r="B44" t="s">
        <v>331</v>
      </c>
      <c r="C44" t="s">
        <v>417</v>
      </c>
      <c r="D44" t="s">
        <v>504</v>
      </c>
      <c r="E44" t="s">
        <v>591</v>
      </c>
      <c r="F44" t="s">
        <v>674</v>
      </c>
      <c r="H44" t="str">
        <f t="shared" si="1"/>
        <v>INSERT INTO QUESTIONNAIRE_LANGUAGE (NAME, HINDI, TELUGU, TAMIL, BENGALI, MARATHI, UPDATED_BY) VALUES('Sleep Deprived', 'नींद से वंचित', 'నిద్రలేమి', 'தூக்கமின்மை', 'ঘুম থেকে বঞ্চিত', 'झोपेपासून वंचित', 'Raminder Ahlawat');</v>
      </c>
    </row>
    <row r="45" spans="1:8" x14ac:dyDescent="0.35">
      <c r="A45" t="s">
        <v>2</v>
      </c>
      <c r="B45" t="s">
        <v>332</v>
      </c>
      <c r="C45" t="s">
        <v>418</v>
      </c>
      <c r="D45" t="s">
        <v>505</v>
      </c>
      <c r="E45" t="s">
        <v>592</v>
      </c>
      <c r="F45" t="s">
        <v>675</v>
      </c>
      <c r="H45" t="str">
        <f t="shared" si="1"/>
        <v>INSERT INTO QUESTIONNAIRE_LANGUAGE (NAME, HINDI, TELUGU, TAMIL, BENGALI, MARATHI, UPDATED_BY) VALUES('Never', 'कभी नहीं', 'ఎన్నడూ లేదు', 'ஒருபோதும்', 'কখনও', 'कधीच नाही', 'Raminder Ahlawat');</v>
      </c>
    </row>
    <row r="46" spans="1:8" x14ac:dyDescent="0.35">
      <c r="A46" t="s">
        <v>75</v>
      </c>
      <c r="B46" t="s">
        <v>333</v>
      </c>
      <c r="C46" t="s">
        <v>419</v>
      </c>
      <c r="D46" t="s">
        <v>506</v>
      </c>
      <c r="E46" t="s">
        <v>593</v>
      </c>
      <c r="F46" t="s">
        <v>676</v>
      </c>
      <c r="H46" t="str">
        <f t="shared" si="1"/>
        <v>INSERT INTO QUESTIONNAIRE_LANGUAGE (NAME, HINDI, TELUGU, TAMIL, BENGALI, MARATHI, UPDATED_BY) VALUES('Once a Year', 'साल में एक बार', 'సంవత్సరానికి ఒకసారి', 'வருடத்திற்கு ஒரு முறை', 'বছরে একবার', 'वर्षातून एकदा', 'Raminder Ahlawat');</v>
      </c>
    </row>
    <row r="47" spans="1:8" x14ac:dyDescent="0.35">
      <c r="A47" t="s">
        <v>76</v>
      </c>
      <c r="B47" t="s">
        <v>334</v>
      </c>
      <c r="C47" t="s">
        <v>420</v>
      </c>
      <c r="D47" t="s">
        <v>507</v>
      </c>
      <c r="E47" t="s">
        <v>1414</v>
      </c>
      <c r="F47" t="s">
        <v>677</v>
      </c>
      <c r="H47" t="str">
        <f t="shared" si="1"/>
        <v>INSERT INTO QUESTIONNAIRE_LANGUAGE (NAME, HINDI, TELUGU, TAMIL, BENGALI, MARATHI, UPDATED_BY) VALUES('Twice a Year', 'साल में दो बार', 'సంవత్సరానికి రెండుసార్లు', 'வருடத்திற்கு இரண்டு முறை', 'বছরে দুবার', 'वर्षातून दोनदा', 'Raminder Ahlawat');</v>
      </c>
    </row>
    <row r="48" spans="1:8" x14ac:dyDescent="0.35">
      <c r="A48" t="s">
        <v>235</v>
      </c>
      <c r="B48" t="s">
        <v>335</v>
      </c>
      <c r="C48" t="s">
        <v>421</v>
      </c>
      <c r="D48" t="s">
        <v>508</v>
      </c>
      <c r="E48" t="s">
        <v>594</v>
      </c>
      <c r="F48" t="s">
        <v>678</v>
      </c>
      <c r="H48" t="str">
        <f t="shared" si="1"/>
        <v>INSERT INTO QUESTIONNAIRE_LANGUAGE (NAME, HINDI, TELUGU, TAMIL, BENGALI, MARATHI, UPDATED_BY) VALUES('More than 3 Times a Year', 'साल में 3 बार से अधिक', 'సంవత్సరానికి 3 కంటే ఎక్కువ సార్లు', 'வருடத்திற்கு 3 முறைக்கு மேல்', 'বছরে 3 বারের বেশি', 'वर्षातून 3 पेक्षा जास्त वेळा', 'Raminder Ahlawat');</v>
      </c>
    </row>
    <row r="49" spans="1:8" x14ac:dyDescent="0.35">
      <c r="A49" t="s">
        <v>78</v>
      </c>
      <c r="B49" t="s">
        <v>336</v>
      </c>
      <c r="C49" t="s">
        <v>422</v>
      </c>
      <c r="D49" t="s">
        <v>509</v>
      </c>
      <c r="E49" t="s">
        <v>595</v>
      </c>
      <c r="F49" t="s">
        <v>679</v>
      </c>
      <c r="H49" t="str">
        <f t="shared" si="1"/>
        <v>INSERT INTO QUESTIONNAIRE_LANGUAGE (NAME, HINDI, TELUGU, TAMIL, BENGALI, MARATHI, UPDATED_BY) VALUES('Clear Daily', 'दैनिक साफ़ करें', 'క్లియర్ డైలీ', 'தினசரி அழிக்கவும்', 'প্রতিদিন পরিষ্কার করুন', 'दररोज स्पष्ट करा', 'Raminder Ahlawat');</v>
      </c>
    </row>
    <row r="50" spans="1:8" x14ac:dyDescent="0.35">
      <c r="A50" t="s">
        <v>80</v>
      </c>
      <c r="B50" t="s">
        <v>337</v>
      </c>
      <c r="C50" t="s">
        <v>423</v>
      </c>
      <c r="D50" t="s">
        <v>510</v>
      </c>
      <c r="E50" t="s">
        <v>596</v>
      </c>
      <c r="F50" t="s">
        <v>680</v>
      </c>
      <c r="H50" t="str">
        <f t="shared" si="1"/>
        <v>INSERT INTO QUESTIONNAIRE_LANGUAGE (NAME, HINDI, TELUGU, TAMIL, BENGALI, MARATHI, UPDATED_BY) VALUES('Clear alternate Day', 'वैकल्पिक दिन साफ़ करें', 'స్పష్టమైన ప్రత్యామ్నాయ రోజు', 'ஒரு நாள் விட்டு ஒரு நாள் தெளிவான', 'বিকল্প দিন পরিষ্কার করুন', 'स्पष्ट पर्यायी दिवस', 'Raminder Ahlawat');</v>
      </c>
    </row>
    <row r="51" spans="1:8" x14ac:dyDescent="0.35">
      <c r="A51" t="s">
        <v>79</v>
      </c>
      <c r="B51" t="s">
        <v>338</v>
      </c>
      <c r="C51" t="s">
        <v>424</v>
      </c>
      <c r="D51" t="s">
        <v>511</v>
      </c>
      <c r="E51" t="s">
        <v>597</v>
      </c>
      <c r="F51" t="s">
        <v>681</v>
      </c>
      <c r="H51" t="str">
        <f t="shared" si="1"/>
        <v>INSERT INTO QUESTIONNAIRE_LANGUAGE (NAME, HINDI, TELUGU, TAMIL, BENGALI, MARATHI, UPDATED_BY) VALUES('Clear once a Week', 'सप्ताह में एक बार साफ़ करें', 'వారానికి ఒకసారి క్లియర్ చేయండి', 'வாரம் ஒரு முறை அழிக்கவும்', 'সপ্তাহে একবার পরিষ্কার করুন', 'आठवड्यातून एकदा साफ करा', 'Raminder Ahlawat');</v>
      </c>
    </row>
    <row r="52" spans="1:8" x14ac:dyDescent="0.35">
      <c r="A52" t="s">
        <v>4</v>
      </c>
      <c r="B52" t="s">
        <v>339</v>
      </c>
      <c r="C52" t="s">
        <v>425</v>
      </c>
      <c r="D52" t="s">
        <v>512</v>
      </c>
      <c r="E52" t="s">
        <v>598</v>
      </c>
      <c r="F52" t="s">
        <v>682</v>
      </c>
      <c r="H52" t="str">
        <f t="shared" si="1"/>
        <v>INSERT INTO QUESTIONNAIRE_LANGUAGE (NAME, HINDI, TELUGU, TAMIL, BENGALI, MARATHI, UPDATED_BY) VALUES('Severe Constipation', 'गंभीर कब्ज', 'తీవ్రమైన మలబద్ధకం', 'கடுமையான மலச்சிக்கல்', 'গুরুতর কোষ্ঠকাঠিন্য', 'तीव्र बद्धकोष्ठता', 'Raminder Ahlawat');</v>
      </c>
    </row>
    <row r="53" spans="1:8" x14ac:dyDescent="0.35">
      <c r="A53" t="s">
        <v>239</v>
      </c>
      <c r="B53" t="s">
        <v>340</v>
      </c>
      <c r="C53" t="s">
        <v>426</v>
      </c>
      <c r="D53" t="s">
        <v>513</v>
      </c>
      <c r="E53" t="s">
        <v>599</v>
      </c>
      <c r="F53" t="s">
        <v>683</v>
      </c>
      <c r="H53" t="str">
        <f t="shared" si="1"/>
        <v>INSERT INTO QUESTIONNAIRE_LANGUAGE (NAME, HINDI, TELUGU, TAMIL, BENGALI, MARATHI, UPDATED_BY) VALUES('Active Lifestyle', 'सक्रिय जीवन शैली', 'చురుకైన జీవనశైలి', 'சுறுசுறுப்பான வாழ்க்கை முறை', 'সক্রিয় জীবনধারা', 'सक्रिय जीवनशैली', 'Raminder Ahlawat');</v>
      </c>
    </row>
    <row r="54" spans="1:8" x14ac:dyDescent="0.35">
      <c r="A54" t="s">
        <v>240</v>
      </c>
      <c r="B54" t="s">
        <v>341</v>
      </c>
      <c r="C54" t="s">
        <v>427</v>
      </c>
      <c r="D54" t="s">
        <v>514</v>
      </c>
      <c r="E54" t="s">
        <v>600</v>
      </c>
      <c r="F54" t="s">
        <v>684</v>
      </c>
      <c r="H54" t="str">
        <f t="shared" si="1"/>
        <v>INSERT INTO QUESTIONNAIRE_LANGUAGE (NAME, HINDI, TELUGU, TAMIL, BENGALI, MARATHI, UPDATED_BY) VALUES('Moderate Lifestyle', 'मध्यम जीवन शैली', 'మితమైన జీవనశైలి', 'மிதமான வாழ்க்கை முறை', 'পরিমিত জীবনধারা', 'मध्यम जीवनशैली', 'Raminder Ahlawat');</v>
      </c>
    </row>
    <row r="55" spans="1:8" x14ac:dyDescent="0.35">
      <c r="A55" t="s">
        <v>241</v>
      </c>
      <c r="B55" t="s">
        <v>342</v>
      </c>
      <c r="C55" t="s">
        <v>428</v>
      </c>
      <c r="D55" t="s">
        <v>515</v>
      </c>
      <c r="E55" t="s">
        <v>601</v>
      </c>
      <c r="F55" t="s">
        <v>685</v>
      </c>
      <c r="H55" t="str">
        <f t="shared" si="1"/>
        <v>INSERT INTO QUESTIONNAIRE_LANGUAGE (NAME, HINDI, TELUGU, TAMIL, BENGALI, MARATHI, UPDATED_BY) VALUES('Sedentary Lifestyle', 'गतिहीन जीवन शैली', 'నిశ్చల జీవనశైలి', 'உட்கார்ந்த வாழ்க்கை முறை', 'সেডেন্টারি লাইফস্টাইল', 'गतिहीन जीवनशैली', 'Raminder Ahlawat');</v>
      </c>
    </row>
    <row r="56" spans="1:8" x14ac:dyDescent="0.35">
      <c r="A56" t="s">
        <v>242</v>
      </c>
      <c r="B56" t="s">
        <v>343</v>
      </c>
      <c r="C56" t="s">
        <v>429</v>
      </c>
      <c r="D56" t="s">
        <v>516</v>
      </c>
      <c r="E56" t="s">
        <v>602</v>
      </c>
      <c r="F56" t="s">
        <v>686</v>
      </c>
      <c r="H56" t="str">
        <f t="shared" si="1"/>
        <v>INSERT INTO QUESTIONNAIRE_LANGUAGE (NAME, HINDI, TELUGU, TAMIL, BENGALI, MARATHI, UPDATED_BY) VALUES('Excellent Hydration', 'उत्कृष्ट जलयोजन', 'అద్భుతమైన ఆర్ద్రీకరణ', 'சிறந்த நீரேற்றம்', 'চমৎকার হাইড্রেশন', 'उत्कृष्ट हायड्रेशन', 'Raminder Ahlawat');</v>
      </c>
    </row>
    <row r="57" spans="1:8" x14ac:dyDescent="0.35">
      <c r="A57" t="s">
        <v>243</v>
      </c>
      <c r="B57" t="s">
        <v>344</v>
      </c>
      <c r="C57" t="s">
        <v>430</v>
      </c>
      <c r="D57" t="s">
        <v>517</v>
      </c>
      <c r="E57" t="s">
        <v>603</v>
      </c>
      <c r="F57" t="s">
        <v>687</v>
      </c>
      <c r="H57" t="str">
        <f t="shared" si="1"/>
        <v>INSERT INTO QUESTIONNAIRE_LANGUAGE (NAME, HINDI, TELUGU, TAMIL, BENGALI, MARATHI, UPDATED_BY) VALUES('Moderate Hyderation', 'मध्यम हाइडरेशन', 'మోడరేట్ హైదరేషన్', 'மிதமான ஹைதரேஷன்', 'মাঝারি হাইডারেশন', 'मध्यम हैडरेशन', 'Raminder Ahlawat');</v>
      </c>
    </row>
    <row r="58" spans="1:8" x14ac:dyDescent="0.35">
      <c r="A58" t="s">
        <v>249</v>
      </c>
      <c r="B58" t="s">
        <v>345</v>
      </c>
      <c r="C58" t="s">
        <v>431</v>
      </c>
      <c r="D58" t="s">
        <v>518</v>
      </c>
      <c r="E58" t="s">
        <v>604</v>
      </c>
      <c r="F58" t="s">
        <v>688</v>
      </c>
      <c r="H58" t="str">
        <f t="shared" si="1"/>
        <v>INSERT INTO QUESTIONNAIRE_LANGUAGE (NAME, HINDI, TELUGU, TAMIL, BENGALI, MARATHI, UPDATED_BY) VALUES('Inadequate Hydration', 'अपर्याप्त जलयोजन', 'తగినంత హైడ్రేషన్ లేకపోవడం', 'போதுமான நீரேற்றம் இல்லாமை', 'অপর্যাপ্ত হাইড্রেশন', 'अपुरे हायड्रेशन', 'Raminder Ahlawat');</v>
      </c>
    </row>
    <row r="59" spans="1:8" x14ac:dyDescent="0.35">
      <c r="A59" t="s">
        <v>9</v>
      </c>
      <c r="B59" t="s">
        <v>346</v>
      </c>
      <c r="C59" t="s">
        <v>432</v>
      </c>
      <c r="D59" t="s">
        <v>519</v>
      </c>
      <c r="E59" t="s">
        <v>605</v>
      </c>
      <c r="F59" t="s">
        <v>689</v>
      </c>
      <c r="H59" t="str">
        <f t="shared" si="1"/>
        <v>INSERT INTO QUESTIONNAIRE_LANGUAGE (NAME, HINDI, TELUGU, TAMIL, BENGALI, MARATHI, UPDATED_BY) VALUES('Sometimes', 'कभी कभी', 'అప్పుడప్పుడు', 'சில நேரங்களில்', 'মাঝে মাঝে', 'कधीकधी', 'Raminder Ahlawat');</v>
      </c>
    </row>
    <row r="60" spans="1:8" x14ac:dyDescent="0.35">
      <c r="A60" t="s">
        <v>10</v>
      </c>
      <c r="B60" t="s">
        <v>347</v>
      </c>
      <c r="C60" t="s">
        <v>433</v>
      </c>
      <c r="D60" t="s">
        <v>520</v>
      </c>
      <c r="E60" t="s">
        <v>606</v>
      </c>
      <c r="F60" t="s">
        <v>690</v>
      </c>
      <c r="H60" t="str">
        <f t="shared" si="1"/>
        <v>INSERT INTO QUESTIONNAIRE_LANGUAGE (NAME, HINDI, TELUGU, TAMIL, BENGALI, MARATHI, UPDATED_BY) VALUES('Often', 'अक्सर', 'తరచుగా', 'அடிக்கடி', 'প্রায়ই', 'वेळोवेळी', 'Raminder Ahlawat');</v>
      </c>
    </row>
    <row r="61" spans="1:8" x14ac:dyDescent="0.35">
      <c r="A61" t="s">
        <v>6</v>
      </c>
      <c r="B61" t="s">
        <v>348</v>
      </c>
      <c r="C61" t="s">
        <v>434</v>
      </c>
      <c r="D61" t="s">
        <v>521</v>
      </c>
      <c r="E61" t="s">
        <v>607</v>
      </c>
      <c r="F61" t="s">
        <v>348</v>
      </c>
      <c r="H61" t="str">
        <f t="shared" si="1"/>
        <v>INSERT INTO QUESTIONNAIRE_LANGUAGE (NAME, HINDI, TELUGU, TAMIL, BENGALI, MARATHI, UPDATED_BY) VALUES('Daily', 'दैनिक', 'రోజువారీ', 'தினசரி', 'দৈনিক', 'दैनिक', 'Raminder Ahlawat');</v>
      </c>
    </row>
    <row r="62" spans="1:8" x14ac:dyDescent="0.35">
      <c r="A62" t="s">
        <v>12</v>
      </c>
      <c r="B62" t="s">
        <v>349</v>
      </c>
      <c r="C62" t="s">
        <v>435</v>
      </c>
      <c r="D62" t="s">
        <v>522</v>
      </c>
      <c r="E62" t="s">
        <v>608</v>
      </c>
      <c r="F62" t="s">
        <v>691</v>
      </c>
      <c r="H62" t="str">
        <f t="shared" si="1"/>
        <v>INSERT INTO QUESTIONNAIRE_LANGUAGE (NAME, HINDI, TELUGU, TAMIL, BENGALI, MARATHI, UPDATED_BY) VALUES('None', 'कोई नहीं', 'ఎవరు కాదు', 'ஏதுமில்லை', 'কোনোটিই নয়', 'काहीच नाही', 'Raminder Ahlawat');</v>
      </c>
    </row>
    <row r="63" spans="1:8" x14ac:dyDescent="0.35">
      <c r="A63" t="s">
        <v>88</v>
      </c>
      <c r="B63" t="s">
        <v>350</v>
      </c>
      <c r="C63" t="s">
        <v>436</v>
      </c>
      <c r="D63" t="s">
        <v>523</v>
      </c>
      <c r="E63" t="s">
        <v>609</v>
      </c>
      <c r="F63" t="s">
        <v>692</v>
      </c>
      <c r="H63" t="str">
        <f t="shared" si="1"/>
        <v>INSERT INTO QUESTIONNAIRE_LANGUAGE (NAME, HINDI, TELUGU, TAMIL, BENGALI, MARATHI, UPDATED_BY) VALUES('Once a Month', 'महीने में एक बार', 'నెలకు ఒకసారి', 'மாதம் ஒரு முறை', 'মাসে একবার', 'महिन्यातून एकदा', 'Raminder Ahlawat');</v>
      </c>
    </row>
    <row r="64" spans="1:8" x14ac:dyDescent="0.35">
      <c r="A64" t="s">
        <v>89</v>
      </c>
      <c r="B64" t="s">
        <v>351</v>
      </c>
      <c r="C64" t="s">
        <v>437</v>
      </c>
      <c r="D64" t="s">
        <v>524</v>
      </c>
      <c r="E64" t="s">
        <v>610</v>
      </c>
      <c r="F64" t="s">
        <v>693</v>
      </c>
      <c r="H64" t="str">
        <f t="shared" si="1"/>
        <v>INSERT INTO QUESTIONNAIRE_LANGUAGE (NAME, HINDI, TELUGU, TAMIL, BENGALI, MARATHI, UPDATED_BY) VALUES('Several times a Month', 'महीने में कई बार', 'నెలకు అనేక సార్లు', 'ஒரு மாதத்திற்கு பல முறை', 'মাসে কয়েকবার', 'महिन्यातून अनेकवेळा', 'Raminder Ahlawat');</v>
      </c>
    </row>
    <row r="65" spans="1:8" x14ac:dyDescent="0.35">
      <c r="A65" t="s">
        <v>14</v>
      </c>
      <c r="B65" t="s">
        <v>352</v>
      </c>
      <c r="C65" t="s">
        <v>438</v>
      </c>
      <c r="D65" t="s">
        <v>525</v>
      </c>
      <c r="E65" t="s">
        <v>611</v>
      </c>
      <c r="F65" t="s">
        <v>694</v>
      </c>
      <c r="H65" t="str">
        <f t="shared" si="1"/>
        <v>INSERT INTO QUESTIONNAIRE_LANGUAGE (NAME, HINDI, TELUGU, TAMIL, BENGALI, MARATHI, UPDATED_BY) VALUES('Always', 'सदा', 'ఎప్పుడు', 'எப்பொழுதும்', 'সর্বদা', 'नेहमी', 'Raminder Ahlawat');</v>
      </c>
    </row>
    <row r="66" spans="1:8" x14ac:dyDescent="0.35">
      <c r="A66" t="s">
        <v>17</v>
      </c>
      <c r="B66" t="s">
        <v>353</v>
      </c>
      <c r="C66" t="s">
        <v>439</v>
      </c>
      <c r="D66" t="s">
        <v>526</v>
      </c>
      <c r="E66" t="s">
        <v>612</v>
      </c>
      <c r="F66" t="s">
        <v>695</v>
      </c>
      <c r="H66" t="str">
        <f t="shared" ref="H66:H97" si="2">CONCATENATE(H$1, "('",A66, "', '",B66,"', '",C66,"', '",D66,"', '",E66,"', '",F66,"', 'Raminder Ahlawat');")</f>
        <v>INSERT INTO QUESTIONNAIRE_LANGUAGE (NAME, HINDI, TELUGU, TAMIL, BENGALI, MARATHI, UPDATED_BY) VALUES('Soft and Manageable', 'नरम और प्रबंधनीय', 'మృదువైనది మరియు నిర్వహించదగినది', 'மென்மையான மற்றும் நிர்வகிக்கக்கூடியது', 'নরম এবং পরিচালনাযোগ্য', 'मऊ आणि व्यवस्थापित करण्यायोग्य', 'Raminder Ahlawat');</v>
      </c>
    </row>
    <row r="67" spans="1:8" x14ac:dyDescent="0.35">
      <c r="A67" t="s">
        <v>18</v>
      </c>
      <c r="B67" t="s">
        <v>354</v>
      </c>
      <c r="C67" t="s">
        <v>440</v>
      </c>
      <c r="D67" t="s">
        <v>527</v>
      </c>
      <c r="E67" t="s">
        <v>613</v>
      </c>
      <c r="F67" t="s">
        <v>696</v>
      </c>
      <c r="H67" t="str">
        <f t="shared" si="2"/>
        <v>INSERT INTO QUESTIONNAIRE_LANGUAGE (NAME, HINDI, TELUGU, TAMIL, BENGALI, MARATHI, UPDATED_BY) VALUES('Dry Seasonally', 'शुष्क मौसमी', 'కాలానుగుణంగా పొడి', 'வறண்ட பருவகாலமாக', 'শুষ্ক মৌসুমী', 'ऋतूनुसार कोरडा', 'Raminder Ahlawat');</v>
      </c>
    </row>
    <row r="68" spans="1:8" x14ac:dyDescent="0.35">
      <c r="A68" t="s">
        <v>19</v>
      </c>
      <c r="B68" t="s">
        <v>355</v>
      </c>
      <c r="C68" t="s">
        <v>441</v>
      </c>
      <c r="D68" t="s">
        <v>528</v>
      </c>
      <c r="E68" t="s">
        <v>614</v>
      </c>
      <c r="F68" t="s">
        <v>697</v>
      </c>
      <c r="H68" t="str">
        <f t="shared" si="2"/>
        <v>INSERT INTO QUESTIONNAIRE_LANGUAGE (NAME, HINDI, TELUGU, TAMIL, BENGALI, MARATHI, UPDATED_BY) VALUES('Dry Year Around', 'शुष्क वर्ष के आसपास', 'పొడి సంవత్సరం చుట్టూ', 'வறண்ட ஆண்டு சுற்றி', 'শুষ্ক বছর ঘুরে বেড়াচ্ছে', 'कोरडे वर्ष', 'Raminder Ahlawat');</v>
      </c>
    </row>
    <row r="69" spans="1:8" x14ac:dyDescent="0.35">
      <c r="A69" t="s">
        <v>20</v>
      </c>
      <c r="B69" t="s">
        <v>356</v>
      </c>
      <c r="C69" t="s">
        <v>442</v>
      </c>
      <c r="D69" t="s">
        <v>529</v>
      </c>
      <c r="E69" t="s">
        <v>615</v>
      </c>
      <c r="F69" t="s">
        <v>698</v>
      </c>
      <c r="H69" t="str">
        <f t="shared" si="2"/>
        <v>INSERT INTO QUESTIONNAIRE_LANGUAGE (NAME, HINDI, TELUGU, TAMIL, BENGALI, MARATHI, UPDATED_BY) VALUES('Always Dry', 'हमेशा सूखा', 'ఎల్లప్పుడూ పొడి', 'எப்போதும் உலர்ந்த', 'সর্বদা শুকনো', 'नेहमी कोरडे', 'Raminder Ahlawat');</v>
      </c>
    </row>
    <row r="70" spans="1:8" x14ac:dyDescent="0.35">
      <c r="A70" t="s">
        <v>22</v>
      </c>
      <c r="B70" t="s">
        <v>357</v>
      </c>
      <c r="C70" t="s">
        <v>443</v>
      </c>
      <c r="D70" t="s">
        <v>530</v>
      </c>
      <c r="E70" t="s">
        <v>616</v>
      </c>
      <c r="F70" t="s">
        <v>699</v>
      </c>
      <c r="H70" t="str">
        <f t="shared" si="2"/>
        <v>INSERT INTO QUESTIONNAIRE_LANGUAGE (NAME, HINDI, TELUGU, TAMIL, BENGALI, MARATHI, UPDATED_BY) VALUES('My Skin is fine', 'मेरी त्वचा ठीक है', 'నా చర్మం బాగుంది', 'என் தோல் நன்றாக இருக்கிறது', 'আমার ত্বক ঠিক আছে', 'माझी त्वचा ठीक आहे', 'Raminder Ahlawat');</v>
      </c>
    </row>
    <row r="71" spans="1:8" x14ac:dyDescent="0.35">
      <c r="A71" t="s">
        <v>90</v>
      </c>
      <c r="B71" t="s">
        <v>358</v>
      </c>
      <c r="C71" t="s">
        <v>444</v>
      </c>
      <c r="D71" t="s">
        <v>531</v>
      </c>
      <c r="E71" t="s">
        <v>617</v>
      </c>
      <c r="F71" t="s">
        <v>700</v>
      </c>
      <c r="H71" t="str">
        <f t="shared" si="2"/>
        <v>INSERT INTO QUESTIONNAIRE_LANGUAGE (NAME, HINDI, TELUGU, TAMIL, BENGALI, MARATHI, UPDATED_BY) VALUES('Age related wrinkles', 'उम्र से संबंधित झुर्रियाँ', 'వయస్సు సంబంధిత ముడతలు', 'வயது தொடர்பான சுருக்கங்கள்', 'বয়স সম্পর্কিত বলিরেখা', 'वयाशी संबंधित सुरकुत्या', 'Raminder Ahlawat');</v>
      </c>
    </row>
    <row r="72" spans="1:8" x14ac:dyDescent="0.35">
      <c r="A72" t="s">
        <v>91</v>
      </c>
      <c r="B72" t="s">
        <v>359</v>
      </c>
      <c r="C72" t="s">
        <v>445</v>
      </c>
      <c r="D72" t="s">
        <v>532</v>
      </c>
      <c r="E72" t="s">
        <v>618</v>
      </c>
      <c r="F72" t="s">
        <v>701</v>
      </c>
      <c r="H72" t="str">
        <f t="shared" si="2"/>
        <v>INSERT INTO QUESTIONNAIRE_LANGUAGE (NAME, HINDI, TELUGU, TAMIL, BENGALI, MARATHI, UPDATED_BY) VALUES('Look older than my age', 'मेरी उम्र से बड़ा लग रहा है', 'నా వయసు కంటే పెద్దదిగా కనిపించండి', 'என் வயதை விட வயதானவனாகத் தெரிகிறான்', 'আমার বয়সের চেয়ে বয়স্ক দেখাও', 'माझ्या वयापेक्षा वयाने मोठा दिसतो', 'Raminder Ahlawat');</v>
      </c>
    </row>
    <row r="73" spans="1:8" x14ac:dyDescent="0.35">
      <c r="A73" t="s">
        <v>92</v>
      </c>
      <c r="B73" t="s">
        <v>360</v>
      </c>
      <c r="C73" t="s">
        <v>446</v>
      </c>
      <c r="D73" t="s">
        <v>533</v>
      </c>
      <c r="E73" t="s">
        <v>619</v>
      </c>
      <c r="F73" t="s">
        <v>702</v>
      </c>
      <c r="H73" t="str">
        <f t="shared" si="2"/>
        <v>INSERT INTO QUESTIONNAIRE_LANGUAGE (NAME, HINDI, TELUGU, TAMIL, BENGALI, MARATHI, UPDATED_BY) VALUES('Wrinkles all over body', 'पूरे शरीर पर झुर्रियां', 'శరీరమంతా ముడతలు', 'உடல் முழுவதும் சுருக்கங்கள்.', 'সারা শরীরে বলিরেখা', 'संपूर्ण शरीरावर सुरकुत्या', 'Raminder Ahlawat');</v>
      </c>
    </row>
    <row r="74" spans="1:8" x14ac:dyDescent="0.35">
      <c r="A74" t="s">
        <v>23</v>
      </c>
      <c r="B74" t="s">
        <v>361</v>
      </c>
      <c r="C74" t="s">
        <v>447</v>
      </c>
      <c r="D74" t="s">
        <v>534</v>
      </c>
      <c r="E74" t="s">
        <v>620</v>
      </c>
      <c r="F74" t="s">
        <v>703</v>
      </c>
      <c r="H74" t="str">
        <f t="shared" si="2"/>
        <v>INSERT INTO QUESTIONNAIRE_LANGUAGE (NAME, HINDI, TELUGU, TAMIL, BENGALI, MARATHI, UPDATED_BY) VALUES('Regular', 'नियमित सैनिक', 'అనుస్యూత', 'வழக்கமான', 'নিয়মিত', 'नेहमीचा', 'Raminder Ahlawat');</v>
      </c>
    </row>
    <row r="75" spans="1:8" x14ac:dyDescent="0.35">
      <c r="A75" t="s">
        <v>24</v>
      </c>
      <c r="B75" t="s">
        <v>362</v>
      </c>
      <c r="C75" t="s">
        <v>448</v>
      </c>
      <c r="D75" t="s">
        <v>535</v>
      </c>
      <c r="E75" t="s">
        <v>621</v>
      </c>
      <c r="F75" t="s">
        <v>704</v>
      </c>
      <c r="H75" t="str">
        <f t="shared" si="2"/>
        <v>INSERT INTO QUESTIONNAIRE_LANGUAGE (NAME, HINDI, TELUGU, TAMIL, BENGALI, MARATHI, UPDATED_BY) VALUES('Occasionally Late', 'कभी-कभी देर से', 'అప్పుడప్పుడు ఆలస్యం', 'எப்போதாவது தாமதமாக', 'মাঝে মাঝে দেরি হয়ে যায়', 'अधूनमधून उशीरा', 'Raminder Ahlawat');</v>
      </c>
    </row>
    <row r="76" spans="1:8" x14ac:dyDescent="0.35">
      <c r="A76" t="s">
        <v>25</v>
      </c>
      <c r="B76" t="s">
        <v>363</v>
      </c>
      <c r="C76" t="s">
        <v>449</v>
      </c>
      <c r="D76" t="s">
        <v>536</v>
      </c>
      <c r="E76" t="s">
        <v>622</v>
      </c>
      <c r="F76" t="s">
        <v>705</v>
      </c>
      <c r="H76" t="str">
        <f t="shared" si="2"/>
        <v>INSERT INTO QUESTIONNAIRE_LANGUAGE (NAME, HINDI, TELUGU, TAMIL, BENGALI, MARATHI, UPDATED_BY) VALUES('Always Delayed', 'हमेशा देरी', 'ఎల్లప్పుడూ ఆలస్యం', 'எப்போதும் தாமதம்', 'সর্বদা বিলম্বিত', 'नेहमी उशीर होतो', 'Raminder Ahlawat');</v>
      </c>
    </row>
    <row r="77" spans="1:8" x14ac:dyDescent="0.35">
      <c r="A77" t="s">
        <v>26</v>
      </c>
      <c r="B77" t="s">
        <v>364</v>
      </c>
      <c r="C77" t="s">
        <v>450</v>
      </c>
      <c r="D77" t="s">
        <v>537</v>
      </c>
      <c r="E77" t="s">
        <v>623</v>
      </c>
      <c r="F77" t="s">
        <v>706</v>
      </c>
      <c r="H77" t="str">
        <f t="shared" si="2"/>
        <v>INSERT INTO QUESTIONNAIRE_LANGUAGE (NAME, HINDI, TELUGU, TAMIL, BENGALI, MARATHI, UPDATED_BY) VALUES('Irregular', 'और का', 'అనియత', 'ஒழுங்கற்ற', 'অনিয়মিত', 'अनियमित', 'Raminder Ahlawat');</v>
      </c>
    </row>
    <row r="78" spans="1:8" x14ac:dyDescent="0.35">
      <c r="A78" t="s">
        <v>247</v>
      </c>
      <c r="B78" t="s">
        <v>365</v>
      </c>
      <c r="C78" t="s">
        <v>451</v>
      </c>
      <c r="D78" t="s">
        <v>538</v>
      </c>
      <c r="E78" t="s">
        <v>624</v>
      </c>
      <c r="F78" t="s">
        <v>707</v>
      </c>
      <c r="H78" t="str">
        <f t="shared" si="2"/>
        <v>INSERT INTO QUESTIONNAIRE_LANGUAGE (NAME, HINDI, TELUGU, TAMIL, BENGALI, MARATHI, UPDATED_BY) VALUES('Exceptional Fasting', 'असाधारण उपवास', 'అసాధారణమైన ఉపవాసం', 'விதிவிலக்கான உண்ணாவிரதம்', 'ব্যতিক্রমী রোজা', 'अपवादात्मक उपवास', 'Raminder Ahlawat');</v>
      </c>
    </row>
    <row r="79" spans="1:8" x14ac:dyDescent="0.35">
      <c r="A79" t="s">
        <v>246</v>
      </c>
      <c r="B79" t="s">
        <v>366</v>
      </c>
      <c r="C79" t="s">
        <v>452</v>
      </c>
      <c r="D79" t="s">
        <v>539</v>
      </c>
      <c r="E79" t="s">
        <v>625</v>
      </c>
      <c r="F79" t="s">
        <v>366</v>
      </c>
      <c r="H79" t="str">
        <f t="shared" si="2"/>
        <v>INSERT INTO QUESTIONNAIRE_LANGUAGE (NAME, HINDI, TELUGU, TAMIL, BENGALI, MARATHI, UPDATED_BY) VALUES('Optimum Fasting', 'इष्टतम उपवास', 'అనుకూలమైన ఉపవాసం', 'உகந்த உண்ணாவிரதம்', 'সর্বোত্তম উপবাস', 'इष्टतम उपवास', 'Raminder Ahlawat');</v>
      </c>
    </row>
    <row r="80" spans="1:8" x14ac:dyDescent="0.35">
      <c r="A80" t="s">
        <v>248</v>
      </c>
      <c r="B80" t="s">
        <v>367</v>
      </c>
      <c r="C80" t="s">
        <v>453</v>
      </c>
      <c r="D80" t="s">
        <v>540</v>
      </c>
      <c r="E80" t="s">
        <v>626</v>
      </c>
      <c r="F80" t="s">
        <v>708</v>
      </c>
      <c r="H80" t="str">
        <f t="shared" si="2"/>
        <v>INSERT INTO QUESTIONNAIRE_LANGUAGE (NAME, HINDI, TELUGU, TAMIL, BENGALI, MARATHI, UPDATED_BY) VALUES('Inadequate Fasting', 'अपर्याप्त उपवास', 'తగినంత ఉపవాసం లేకపోవడం', 'போதிய உண்ணாவிரதம்', 'অপর্যাপ্ত রোজা', 'अपुरे उपवास', 'Raminder Ahlawat');</v>
      </c>
    </row>
    <row r="81" spans="1:8" x14ac:dyDescent="0.35">
      <c r="A81" t="s">
        <v>41</v>
      </c>
      <c r="B81" t="s">
        <v>289</v>
      </c>
      <c r="C81" t="s">
        <v>377</v>
      </c>
      <c r="D81" t="s">
        <v>534</v>
      </c>
      <c r="E81" t="s">
        <v>627</v>
      </c>
      <c r="F81" t="s">
        <v>709</v>
      </c>
      <c r="H81" t="str">
        <f t="shared" si="2"/>
        <v>INSERT INTO QUESTIONNAIRE_LANGUAGE (NAME, HINDI, TELUGU, TAMIL, BENGALI, MARATHI, UPDATED_BY) VALUES('Normal', 'सामान्य', 'సాధారణం', 'வழக்கமான', 'স্বাভাবিক', 'सर्वसामान्य', 'Raminder Ahlawat');</v>
      </c>
    </row>
    <row r="82" spans="1:8" x14ac:dyDescent="0.35">
      <c r="A82" t="s">
        <v>203</v>
      </c>
      <c r="B82" t="s">
        <v>368</v>
      </c>
      <c r="C82" t="s">
        <v>454</v>
      </c>
      <c r="D82" t="s">
        <v>541</v>
      </c>
      <c r="E82" t="s">
        <v>628</v>
      </c>
      <c r="F82" t="s">
        <v>710</v>
      </c>
      <c r="H82" t="str">
        <f t="shared" si="2"/>
        <v>INSERT INTO QUESTIONNAIRE_LANGUAGE (NAME, HINDI, TELUGU, TAMIL, BENGALI, MARATHI, UPDATED_BY) VALUES('Mild Depression', 'हल्का अवसाद', 'తేలికపాటి నిరాశ', 'லேசான மனச்சோர்வு (Mild Depression)', 'হালকা বিষণ্নতা', 'सौम्य नैराश्य', 'Raminder Ahlawat');</v>
      </c>
    </row>
    <row r="83" spans="1:8" x14ac:dyDescent="0.35">
      <c r="A83" t="s">
        <v>204</v>
      </c>
      <c r="B83" t="s">
        <v>369</v>
      </c>
      <c r="C83" t="s">
        <v>455</v>
      </c>
      <c r="D83" t="s">
        <v>542</v>
      </c>
      <c r="E83" t="s">
        <v>629</v>
      </c>
      <c r="F83" t="s">
        <v>711</v>
      </c>
      <c r="H83" t="str">
        <f t="shared" si="2"/>
        <v>INSERT INTO QUESTIONNAIRE_LANGUAGE (NAME, HINDI, TELUGU, TAMIL, BENGALI, MARATHI, UPDATED_BY) VALUES('Moderate Depression', 'मध्यम अवसाद', 'మితమైన డిప్రెషన్', 'மிதமான மனச்சோர்வு', 'মাঝারি বিষণ্নতা', 'मध्यम औदासिन्य', 'Raminder Ahlawat');</v>
      </c>
    </row>
    <row r="84" spans="1:8" x14ac:dyDescent="0.35">
      <c r="A84" t="s">
        <v>1402</v>
      </c>
      <c r="B84" t="s">
        <v>1403</v>
      </c>
      <c r="C84" t="s">
        <v>1404</v>
      </c>
      <c r="D84" t="s">
        <v>1405</v>
      </c>
      <c r="E84" t="s">
        <v>1406</v>
      </c>
      <c r="F84" t="s">
        <v>1407</v>
      </c>
      <c r="H84" t="str">
        <f t="shared" si="2"/>
        <v>INSERT INTO QUESTIONNAIRE_LANGUAGE (NAME, HINDI, TELUGU, TAMIL, BENGALI, MARATHI, UPDATED_BY) VALUES('Moderately Severe', 'मध्यम रूप से गंभीर', 'మధ్యస్థంగా తీవ్రమైనది', 'மிதமான கடுமையான', 'মাঝারি মাত্রার তীব্র', 'मध्यम गंभीर', 'Raminder Ahlawat');</v>
      </c>
    </row>
    <row r="85" spans="1:8" x14ac:dyDescent="0.35">
      <c r="A85" t="s">
        <v>206</v>
      </c>
      <c r="B85" t="s">
        <v>370</v>
      </c>
      <c r="C85" t="s">
        <v>456</v>
      </c>
      <c r="D85" t="s">
        <v>543</v>
      </c>
      <c r="E85" t="s">
        <v>630</v>
      </c>
      <c r="F85" t="s">
        <v>712</v>
      </c>
      <c r="H85" t="str">
        <f t="shared" si="2"/>
        <v>INSERT INTO QUESTIONNAIRE_LANGUAGE (NAME, HINDI, TELUGU, TAMIL, BENGALI, MARATHI, UPDATED_BY) VALUES('Severe Depression', 'गंभीर अवसाद', 'తీవ్రమైన డిప్రెషన్', 'கடுமையான மனச்சோர்வு', 'তীব্র বিষণ্নতা', 'गंभीर नैराश्य', 'Raminder Ahlawat');</v>
      </c>
    </row>
    <row r="86" spans="1:8" x14ac:dyDescent="0.35">
      <c r="A86" t="s">
        <v>97</v>
      </c>
      <c r="B86" t="s">
        <v>371</v>
      </c>
      <c r="C86" t="s">
        <v>457</v>
      </c>
      <c r="D86" t="s">
        <v>544</v>
      </c>
      <c r="E86" t="s">
        <v>631</v>
      </c>
      <c r="F86" t="s">
        <v>713</v>
      </c>
      <c r="H86" t="str">
        <f t="shared" si="2"/>
        <v>INSERT INTO QUESTIONNAIRE_LANGUAGE (NAME, HINDI, TELUGU, TAMIL, BENGALI, MARATHI, UPDATED_BY) VALUES('Elevated', 'उन्नत', 'ఎలివేటెడ్', 'உயர்த்தப்பட்டது', 'উঁচু', 'एलिव्हेटेड', 'Raminder Ahlawat');</v>
      </c>
    </row>
    <row r="87" spans="1:8" x14ac:dyDescent="0.35">
      <c r="A87" t="s">
        <v>98</v>
      </c>
      <c r="B87" t="s">
        <v>372</v>
      </c>
      <c r="C87" t="s">
        <v>458</v>
      </c>
      <c r="D87" t="s">
        <v>545</v>
      </c>
      <c r="E87" t="s">
        <v>632</v>
      </c>
      <c r="F87" t="s">
        <v>714</v>
      </c>
      <c r="H87" t="str">
        <f t="shared" si="2"/>
        <v>INSERT INTO QUESTIONNAIRE_LANGUAGE (NAME, HINDI, TELUGU, TAMIL, BENGALI, MARATHI, UPDATED_BY) VALUES('Stage 1', 'स्टेज 1', 'స్టేజ్ 1', 'நிலை 1', 'পর্যায় ১', 'पहिला टप्पा', 'Raminder Ahlawat');</v>
      </c>
    </row>
    <row r="88" spans="1:8" x14ac:dyDescent="0.35">
      <c r="A88" t="s">
        <v>99</v>
      </c>
      <c r="B88" t="s">
        <v>373</v>
      </c>
      <c r="C88" t="s">
        <v>459</v>
      </c>
      <c r="D88" t="s">
        <v>546</v>
      </c>
      <c r="E88" t="s">
        <v>633</v>
      </c>
      <c r="F88" t="s">
        <v>715</v>
      </c>
      <c r="H88" t="str">
        <f t="shared" si="2"/>
        <v>INSERT INTO QUESTIONNAIRE_LANGUAGE (NAME, HINDI, TELUGU, TAMIL, BENGALI, MARATHI, UPDATED_BY) VALUES('Stage 2', 'स्टेज 2', 'స్టేజ్ 2', 'நிலை 2', 'পর্যায় ২', 'दुसरा टप्पा', 'Raminder Ahlawat');</v>
      </c>
    </row>
    <row r="89" spans="1:8" x14ac:dyDescent="0.35">
      <c r="A89" t="s">
        <v>194</v>
      </c>
      <c r="B89" t="s">
        <v>374</v>
      </c>
      <c r="C89" t="s">
        <v>460</v>
      </c>
      <c r="D89" t="s">
        <v>547</v>
      </c>
      <c r="E89" t="s">
        <v>634</v>
      </c>
      <c r="F89" t="s">
        <v>374</v>
      </c>
      <c r="H89" t="str">
        <f t="shared" si="2"/>
        <v>INSERT INTO QUESTIONNAIRE_LANGUAGE (NAME, HINDI, TELUGU, TAMIL, BENGALI, MARATHI, UPDATED_BY) VALUES('Crisis', 'संकट', 'సంక్షోభం', 'நெருக்கடி', 'সংকট', 'संकट', 'Raminder Ahlawat');</v>
      </c>
    </row>
    <row r="90" spans="1:8" x14ac:dyDescent="0.35">
      <c r="A90" t="s">
        <v>266</v>
      </c>
      <c r="B90" t="s">
        <v>375</v>
      </c>
      <c r="C90" t="s">
        <v>461</v>
      </c>
      <c r="D90" t="s">
        <v>548</v>
      </c>
      <c r="E90" t="s">
        <v>635</v>
      </c>
      <c r="F90" t="s">
        <v>716</v>
      </c>
      <c r="H90" t="str">
        <f t="shared" si="2"/>
        <v>INSERT INTO QUESTIONNAIRE_LANGUAGE (NAME, HINDI, TELUGU, TAMIL, BENGALI, MARATHI, UPDATED_BY) VALUES('Hypo Crisis', 'हाइपो संकट', 'హైపో సంక్షోభం', 'ஹைப்போ நெருக்கடி (Hypo Crisis )', 'হাইপো সংকট', 'हायपो संकट', 'Raminder Ahlawat');</v>
      </c>
    </row>
    <row r="91" spans="1:8" x14ac:dyDescent="0.35">
      <c r="A91" t="s">
        <v>267</v>
      </c>
      <c r="B91" t="s">
        <v>376</v>
      </c>
      <c r="C91" t="s">
        <v>462</v>
      </c>
      <c r="D91" t="s">
        <v>549</v>
      </c>
      <c r="E91" t="s">
        <v>636</v>
      </c>
      <c r="F91" t="s">
        <v>717</v>
      </c>
      <c r="H91" t="str">
        <f t="shared" si="2"/>
        <v>INSERT INTO QUESTIONNAIRE_LANGUAGE (NAME, HINDI, TELUGU, TAMIL, BENGALI, MARATHI, UPDATED_BY) VALUES('Hypo Stage 1', 'हाइपो स्टेज 1', 'హైపో స్టేజ్ 1', 'ஹைப்போ நிலை 1', 'হাইপো স্টেজ 1', 'हायपो स्टेज 1', 'Raminder Ahlawat');</v>
      </c>
    </row>
    <row r="92" spans="1:8" x14ac:dyDescent="0.35">
      <c r="A92" t="s">
        <v>1095</v>
      </c>
      <c r="B92" t="s">
        <v>1097</v>
      </c>
      <c r="C92" t="s">
        <v>1109</v>
      </c>
      <c r="D92" t="s">
        <v>1113</v>
      </c>
      <c r="E92" t="s">
        <v>1105</v>
      </c>
      <c r="F92" t="s">
        <v>1101</v>
      </c>
      <c r="H92" t="str">
        <f t="shared" si="2"/>
        <v>INSERT INTO QUESTIONNAIRE_LANGUAGE (NAME, HINDI, TELUGU, TAMIL, BENGALI, MARATHI, UPDATED_BY) VALUES('Repeat Question not answered', 'दोहराएँ प्रश्न का उत्तर नहीं', 'పునరావృత ప్రశ్నకు సమాధానం ఇవ్వబడలేదు', 'மீண்டும் கேள்வி பதிலளிக்கப்படவில்லை', 'পুনরাবৃত্তি প্রশ্নের উত্তর দেওয়া হয়নি', 'पुनरावृत्ती प्रश्नाचे उत्तर नाही', 'Raminder Ahlawat');</v>
      </c>
    </row>
    <row r="93" spans="1:8" x14ac:dyDescent="0.35">
      <c r="A93" t="s">
        <v>1094</v>
      </c>
      <c r="B93" t="s">
        <v>1098</v>
      </c>
      <c r="C93" t="s">
        <v>1110</v>
      </c>
      <c r="D93" t="s">
        <v>1114</v>
      </c>
      <c r="E93" t="s">
        <v>1106</v>
      </c>
      <c r="F93" t="s">
        <v>1102</v>
      </c>
      <c r="H93" t="str">
        <f t="shared" si="2"/>
        <v>INSERT INTO QUESTIONNAIRE_LANGUAGE (NAME, HINDI, TELUGU, TAMIL, BENGALI, MARATHI, UPDATED_BY) VALUES('Repeat Health Group Questionnaire', 'स्वास्थ्य समूह प्रश्नावली दोहराएं', 'హెల్త్ గ్రూప్ ప్రశ్నావళిని పునరావృతం చేయండి', 'உடல்நலக் குழு கேள்வித்தாளை மீண்டும் செய்யவும்', 'স্বাস্থ্য গ্রুপের প্রশ্নাবলীর পুনরাবৃত্তি করুন', 'आरोग्य गट प्रश्नावली ची पुनरावृत्ती करा', 'Raminder Ahlawat');</v>
      </c>
    </row>
    <row r="94" spans="1:8" x14ac:dyDescent="0.35">
      <c r="A94" t="s">
        <v>1096</v>
      </c>
      <c r="B94" t="s">
        <v>1099</v>
      </c>
      <c r="C94" t="s">
        <v>1111</v>
      </c>
      <c r="D94" t="s">
        <v>1115</v>
      </c>
      <c r="E94" t="s">
        <v>1107</v>
      </c>
      <c r="F94" t="s">
        <v>1103</v>
      </c>
      <c r="H94" t="str">
        <f t="shared" si="2"/>
        <v>INSERT INTO QUESTIONNAIRE_LANGUAGE (NAME, HINDI, TELUGU, TAMIL, BENGALI, MARATHI, UPDATED_BY) VALUES('Repeat Test Bundle not responded', 'दोहराएँ परीक्षण बंडल प्रतिसाद नहीं दिया', 'రిపీట్ టెస్ట్ బండిల్ ప్రతిస్పందించలేదు', 'மீண்டும் செய் சோதனை மூட்டை பதிலளிக்கவில்லை', 'পুনরাবৃত্তি পরীক্ষার বান্ডিল প্রতিক্রিয়া জানানো হয়নি', 'पुनरावृत्ती चाचणी बंडलला प्रतिसाद मिळाला नाही', 'Raminder Ahlawat');</v>
      </c>
    </row>
    <row r="95" spans="1:8" x14ac:dyDescent="0.35">
      <c r="A95" t="s">
        <v>1093</v>
      </c>
      <c r="B95" t="s">
        <v>1100</v>
      </c>
      <c r="C95" t="s">
        <v>1112</v>
      </c>
      <c r="D95" t="s">
        <v>1116</v>
      </c>
      <c r="E95" t="s">
        <v>1108</v>
      </c>
      <c r="F95" t="s">
        <v>1104</v>
      </c>
      <c r="H95" t="str">
        <f t="shared" si="2"/>
        <v>INSERT INTO QUESTIONNAIRE_LANGUAGE (NAME, HINDI, TELUGU, TAMIL, BENGALI, MARATHI, UPDATED_BY) VALUES('Repeat Test Bundle', 'टेस्ट बंडल दोहराएं', 'రిపీట్ టెస్ట్ బండిల్', 'சோதனை மூட்டையை மீண்டும் செய்யவும்', 'টেস্ট বান্ডিল পুনরাবৃত্তি করুন', 'पुनरावृत्ती चाचणी बंडल', 'Raminder Ahlawat');</v>
      </c>
    </row>
    <row r="96" spans="1:8" x14ac:dyDescent="0.35">
      <c r="A96" t="s">
        <v>902</v>
      </c>
      <c r="B96" t="s">
        <v>1284</v>
      </c>
      <c r="C96" t="s">
        <v>1244</v>
      </c>
      <c r="D96" t="s">
        <v>1118</v>
      </c>
      <c r="E96" t="s">
        <v>1160</v>
      </c>
      <c r="F96" t="s">
        <v>1202</v>
      </c>
      <c r="H96" t="str">
        <f t="shared" si="2"/>
        <v>INSERT INTO QUESTIONNAIRE_LANGUAGE (NAME, HINDI, TELUGU, TAMIL, BENGALI, MARATHI, UPDATED_BY) VALUES('Complete Blood Count (CBC)', 'पूर्ण रक्त गणना (सीबीसी)', 'కంప్లీట్ బ్లడ్ కౌంట్ (సిబిసి)', 'முழுமையான இரத்த எண்ணிக்கை (சிபிசி).', 'সম্পূর্ণ রক্ত গণনা (সিবিসি)', 'संपूर्ण रक्त गणना (सीबीसी)', 'Raminder Ahlawat');</v>
      </c>
    </row>
    <row r="97" spans="1:8" x14ac:dyDescent="0.35">
      <c r="A97" t="s">
        <v>921</v>
      </c>
      <c r="B97" t="s">
        <v>1203</v>
      </c>
      <c r="C97" t="s">
        <v>921</v>
      </c>
      <c r="D97" t="s">
        <v>1119</v>
      </c>
      <c r="E97" t="s">
        <v>1161</v>
      </c>
      <c r="F97" t="s">
        <v>1203</v>
      </c>
      <c r="H97" t="str">
        <f t="shared" si="2"/>
        <v>INSERT INTO QUESTIONNAIRE_LANGUAGE (NAME, HINDI, TELUGU, TAMIL, BENGALI, MARATHI, UPDATED_BY) VALUES('ESR', 'ईएसआर', 'ESR', 'ஈ.எஸ்.ஆர்', 'ইএসআর', 'ईएसआर', 'Raminder Ahlawat');</v>
      </c>
    </row>
    <row r="98" spans="1:8" x14ac:dyDescent="0.35">
      <c r="A98" t="s">
        <v>922</v>
      </c>
      <c r="B98" t="s">
        <v>1285</v>
      </c>
      <c r="C98" t="s">
        <v>1245</v>
      </c>
      <c r="D98" t="s">
        <v>1120</v>
      </c>
      <c r="E98" t="s">
        <v>1162</v>
      </c>
      <c r="F98" t="s">
        <v>1204</v>
      </c>
      <c r="H98" t="str">
        <f t="shared" ref="H98:H129" si="3">CONCATENATE(H$1, "('",A98, "', '",B98,"', '",C98,"', '",D98,"', '",E98,"', '",F98,"', 'Raminder Ahlawat');")</f>
        <v>INSERT INTO QUESTIONNAIRE_LANGUAGE (NAME, HINDI, TELUGU, TAMIL, BENGALI, MARATHI, UPDATED_BY) VALUES('Comprehensive Metabolic Panel (CMP)', 'व्यापक मेटाबोलिक पैनल (CMP)', 'కాంప్రహెన్సివ్ మెటబాలిక్ ప్యానెల్ (సీఎంపీ)', 'விரிவான வளர்சிதை மாற்ற குழு (CMP)', 'কম্প্রিহেনসিভ মেটাবলিক প্যানেল (সিএমপি)', 'व्यापक चयापचय पॅनेल (सीएमपी)', 'Raminder Ahlawat');</v>
      </c>
    </row>
    <row r="99" spans="1:8" x14ac:dyDescent="0.35">
      <c r="A99" t="s">
        <v>924</v>
      </c>
      <c r="B99" t="s">
        <v>1286</v>
      </c>
      <c r="C99" t="s">
        <v>1246</v>
      </c>
      <c r="D99" t="s">
        <v>1121</v>
      </c>
      <c r="E99" t="s">
        <v>1163</v>
      </c>
      <c r="F99" t="s">
        <v>1205</v>
      </c>
      <c r="H99" t="str">
        <f t="shared" si="3"/>
        <v>INSERT INTO QUESTIONNAIRE_LANGUAGE (NAME, HINDI, TELUGU, TAMIL, BENGALI, MARATHI, UPDATED_BY) VALUES('Lipid Panel (LP)', 'लिपिड पैनल (एलपी)', 'లిపిడ్ ప్యానెల్ (ఎల్పి)', 'லிப்பிட் பேனல் (LP)', 'লিপিড প্যানেল (এলপি)', 'लिपिड पॅनेल (एलपी)', 'Raminder Ahlawat');</v>
      </c>
    </row>
    <row r="100" spans="1:8" x14ac:dyDescent="0.35">
      <c r="A100" t="s">
        <v>923</v>
      </c>
      <c r="B100" t="s">
        <v>1287</v>
      </c>
      <c r="C100" t="s">
        <v>1247</v>
      </c>
      <c r="D100" t="s">
        <v>1122</v>
      </c>
      <c r="E100" t="s">
        <v>1164</v>
      </c>
      <c r="F100" t="s">
        <v>1206</v>
      </c>
      <c r="H100" t="str">
        <f t="shared" si="3"/>
        <v>INSERT INTO QUESTIONNAIRE_LANGUAGE (NAME, HINDI, TELUGU, TAMIL, BENGALI, MARATHI, UPDATED_BY) VALUES('Thyroid Panel (TP)', 'थायराइड पैनल (टीपी)', 'థైరాయిడ్ ప్యానెల్ (టిపి)', 'தைராய்டு பேனல் (TP)', 'থাইরয়েড প্যানেল (টিপি)', 'थायरॉईड पॅनेल (टीपी)', 'Raminder Ahlawat');</v>
      </c>
    </row>
    <row r="101" spans="1:8" x14ac:dyDescent="0.35">
      <c r="A101" t="s">
        <v>1045</v>
      </c>
      <c r="B101" t="s">
        <v>1288</v>
      </c>
      <c r="C101" t="s">
        <v>1248</v>
      </c>
      <c r="D101" t="s">
        <v>1123</v>
      </c>
      <c r="E101" t="s">
        <v>1165</v>
      </c>
      <c r="F101" t="s">
        <v>1207</v>
      </c>
      <c r="H101" t="str">
        <f t="shared" si="3"/>
        <v>INSERT INTO QUESTIONNAIRE_LANGUAGE (NAME, HINDI, TELUGU, TAMIL, BENGALI, MARATHI, UPDATED_BY) VALUES('Routine Urine', 'नियमित मूत्र', 'రొటీన్ మూత్రం', 'வழக்கமான சிறுநீர்', 'নিয়মিত প্রস্রাব', 'नियमित लघवी', 'Raminder Ahlawat');</v>
      </c>
    </row>
    <row r="102" spans="1:8" x14ac:dyDescent="0.35">
      <c r="A102" t="s">
        <v>1070</v>
      </c>
      <c r="B102" t="s">
        <v>1289</v>
      </c>
      <c r="C102" t="s">
        <v>1249</v>
      </c>
      <c r="D102" t="s">
        <v>1124</v>
      </c>
      <c r="E102" t="s">
        <v>1166</v>
      </c>
      <c r="F102" t="s">
        <v>1208</v>
      </c>
      <c r="H102" t="str">
        <f t="shared" si="3"/>
        <v>INSERT INTO QUESTIONNAIRE_LANGUAGE (NAME, HINDI, TELUGU, TAMIL, BENGALI, MARATHI, UPDATED_BY) VALUES('Iron Study', 'आयरन स्टडी', 'ఇనుము అధ్యయనం', 'இரும்பு ஆய்வு', 'আয়রন স্টাডি', 'लोह अभ्यास', 'Raminder Ahlawat');</v>
      </c>
    </row>
    <row r="103" spans="1:8" x14ac:dyDescent="0.35">
      <c r="A103" t="s">
        <v>903</v>
      </c>
      <c r="B103" t="s">
        <v>1290</v>
      </c>
      <c r="C103" t="s">
        <v>1250</v>
      </c>
      <c r="D103" t="s">
        <v>1125</v>
      </c>
      <c r="E103" t="s">
        <v>1167</v>
      </c>
      <c r="F103" t="s">
        <v>1209</v>
      </c>
      <c r="H103" t="str">
        <f t="shared" si="3"/>
        <v>INSERT INTO QUESTIONNAIRE_LANGUAGE (NAME, HINDI, TELUGU, TAMIL, BENGALI, MARATHI, UPDATED_BY) VALUES('Red Blood Cells (RBC)', 'लाल रक्त कोशिकाएं (आरबीसी)', 'ఎర్ర రక్త కణాలు (ఆర్బిసి)', 'இரத்த சிவப்பணுக்கள் (RBC)', 'লোহিত রক্তকণিকা (আরবিসি)', 'लाल रक्त पेशी (आरबीसी)', 'Raminder Ahlawat');</v>
      </c>
    </row>
    <row r="104" spans="1:8" x14ac:dyDescent="0.35">
      <c r="A104" t="s">
        <v>904</v>
      </c>
      <c r="B104" t="s">
        <v>1291</v>
      </c>
      <c r="C104" t="s">
        <v>1251</v>
      </c>
      <c r="D104" t="s">
        <v>1126</v>
      </c>
      <c r="E104" t="s">
        <v>1168</v>
      </c>
      <c r="F104" t="s">
        <v>1210</v>
      </c>
      <c r="H104" t="str">
        <f t="shared" si="3"/>
        <v>INSERT INTO QUESTIONNAIRE_LANGUAGE (NAME, HINDI, TELUGU, TAMIL, BENGALI, MARATHI, UPDATED_BY) VALUES('White Blood Cells (WBC)', 'श्वेत रक्त कोशिकाएं (WBC)', 'తెల్ల రక్త కణాలు (డబ్ల్యుబిసి)', 'வெள்ளை இரத்த அணுக்கள் (WBC)', 'শ্বেত রক্তকণিকা (ডাব্লুবিসি)', 'पांढर्या रक्त पेशी (डब्ल्यूबीसी)', 'Raminder Ahlawat');</v>
      </c>
    </row>
    <row r="105" spans="1:8" x14ac:dyDescent="0.35">
      <c r="A105" t="s">
        <v>905</v>
      </c>
      <c r="B105" t="s">
        <v>1292</v>
      </c>
      <c r="C105" t="s">
        <v>1252</v>
      </c>
      <c r="D105" t="s">
        <v>1127</v>
      </c>
      <c r="E105" t="s">
        <v>1169</v>
      </c>
      <c r="F105" t="s">
        <v>1211</v>
      </c>
      <c r="H105" t="str">
        <f t="shared" si="3"/>
        <v>INSERT INTO QUESTIONNAIRE_LANGUAGE (NAME, HINDI, TELUGU, TAMIL, BENGALI, MARATHI, UPDATED_BY) VALUES('Platelets', 'प्लेटलेटों', 'ప్లేట్లెట్స్', 'பிளேட்லெட்டுகள்', 'প্লেটলেট', 'प्लेटलेट्स', 'Raminder Ahlawat');</v>
      </c>
    </row>
    <row r="106" spans="1:8" x14ac:dyDescent="0.35">
      <c r="A106" t="s">
        <v>906</v>
      </c>
      <c r="B106" t="s">
        <v>1293</v>
      </c>
      <c r="C106" t="s">
        <v>1253</v>
      </c>
      <c r="D106" t="s">
        <v>1128</v>
      </c>
      <c r="E106" t="s">
        <v>1170</v>
      </c>
      <c r="F106" t="s">
        <v>1212</v>
      </c>
      <c r="H106" t="str">
        <f t="shared" si="3"/>
        <v>INSERT INTO QUESTIONNAIRE_LANGUAGE (NAME, HINDI, TELUGU, TAMIL, BENGALI, MARATHI, UPDATED_BY) VALUES('Hemoglobin', 'हीमोग्लोबिन', 'హిమోగ్లోబిన్', 'ஹீமோகுளோபின்', 'হিমোগ্লোবিন', 'हिमोग्लोबिन', 'Raminder Ahlawat');</v>
      </c>
    </row>
    <row r="107" spans="1:8" x14ac:dyDescent="0.35">
      <c r="A107" t="s">
        <v>932</v>
      </c>
      <c r="B107" t="s">
        <v>1294</v>
      </c>
      <c r="C107" t="s">
        <v>1254</v>
      </c>
      <c r="D107" t="s">
        <v>1129</v>
      </c>
      <c r="E107" t="s">
        <v>1171</v>
      </c>
      <c r="F107" t="s">
        <v>1213</v>
      </c>
      <c r="H107" t="str">
        <f t="shared" si="3"/>
        <v>INSERT INTO QUESTIONNAIRE_LANGUAGE (NAME, HINDI, TELUGU, TAMIL, BENGALI, MARATHI, UPDATED_BY) VALUES('Calcium', 'चूना', 'సున్నము', 'சுண்ணம்', 'ক্যালসিয়াম', 'कॅल्शियम', 'Raminder Ahlawat');</v>
      </c>
    </row>
    <row r="108" spans="1:8" x14ac:dyDescent="0.35">
      <c r="A108" t="s">
        <v>933</v>
      </c>
      <c r="B108" t="s">
        <v>1214</v>
      </c>
      <c r="C108" t="s">
        <v>1255</v>
      </c>
      <c r="D108" t="s">
        <v>1130</v>
      </c>
      <c r="E108" t="s">
        <v>1172</v>
      </c>
      <c r="F108" t="s">
        <v>1214</v>
      </c>
      <c r="H108" t="str">
        <f t="shared" si="3"/>
        <v>INSERT INTO QUESTIONNAIRE_LANGUAGE (NAME, HINDI, TELUGU, TAMIL, BENGALI, MARATHI, UPDATED_BY) VALUES('Sodium', 'सोडियम', 'సోడియమ్', 'சோடியம்', 'সোডিয়াম', 'सोडियम', 'Raminder Ahlawat');</v>
      </c>
    </row>
    <row r="109" spans="1:8" x14ac:dyDescent="0.35">
      <c r="A109" t="s">
        <v>934</v>
      </c>
      <c r="B109" t="s">
        <v>1295</v>
      </c>
      <c r="C109" t="s">
        <v>1256</v>
      </c>
      <c r="D109" t="s">
        <v>1131</v>
      </c>
      <c r="E109" t="s">
        <v>1173</v>
      </c>
      <c r="F109" t="s">
        <v>1215</v>
      </c>
      <c r="H109" t="str">
        <f t="shared" si="3"/>
        <v>INSERT INTO QUESTIONNAIRE_LANGUAGE (NAME, HINDI, TELUGU, TAMIL, BENGALI, MARATHI, UPDATED_BY) VALUES('Potassium', 'पोटैशियम', 'పొటాషియం', 'பொட்டாசியம்', 'পটাশিয়াম', 'पोटॅशियम', 'Raminder Ahlawat');</v>
      </c>
    </row>
    <row r="110" spans="1:8" x14ac:dyDescent="0.35">
      <c r="A110" t="s">
        <v>935</v>
      </c>
      <c r="B110" t="s">
        <v>1296</v>
      </c>
      <c r="C110" t="s">
        <v>1257</v>
      </c>
      <c r="D110" t="s">
        <v>1132</v>
      </c>
      <c r="E110" t="s">
        <v>1174</v>
      </c>
      <c r="F110" t="s">
        <v>1216</v>
      </c>
      <c r="H110" t="str">
        <f t="shared" si="3"/>
        <v>INSERT INTO QUESTIONNAIRE_LANGUAGE (NAME, HINDI, TELUGU, TAMIL, BENGALI, MARATHI, UPDATED_BY) VALUES('Bicarbonate', 'बाइकार्बोनेट', 'బైకార్బోనేట్', 'பைகார்பனேட்', 'বাইকার্বোনেট', 'बायकार्बोनेट', 'Raminder Ahlawat');</v>
      </c>
    </row>
    <row r="111" spans="1:8" x14ac:dyDescent="0.35">
      <c r="A111" t="s">
        <v>936</v>
      </c>
      <c r="B111" t="s">
        <v>1297</v>
      </c>
      <c r="C111" t="s">
        <v>1258</v>
      </c>
      <c r="D111" t="s">
        <v>1133</v>
      </c>
      <c r="E111" t="s">
        <v>1175</v>
      </c>
      <c r="F111" t="s">
        <v>1217</v>
      </c>
      <c r="H111" t="str">
        <f t="shared" si="3"/>
        <v>INSERT INTO QUESTIONNAIRE_LANGUAGE (NAME, HINDI, TELUGU, TAMIL, BENGALI, MARATHI, UPDATED_BY) VALUES('Chloride', 'क्‍लोराइड', 'క్లోరైడ్', 'குளோரைடு', 'ক্লোরাইড', 'क्लोराइड', 'Raminder Ahlawat');</v>
      </c>
    </row>
    <row r="112" spans="1:8" x14ac:dyDescent="0.35">
      <c r="A112" t="s">
        <v>937</v>
      </c>
      <c r="B112" t="s">
        <v>1298</v>
      </c>
      <c r="C112" t="s">
        <v>1259</v>
      </c>
      <c r="D112" t="s">
        <v>1134</v>
      </c>
      <c r="E112" t="s">
        <v>1176</v>
      </c>
      <c r="F112" t="s">
        <v>1218</v>
      </c>
      <c r="H112" t="str">
        <f t="shared" si="3"/>
        <v>INSERT INTO QUESTIONNAIRE_LANGUAGE (NAME, HINDI, TELUGU, TAMIL, BENGALI, MARATHI, UPDATED_BY) VALUES('Blood Urea Nitrogen (BUN)', 'रक्त यूरिया नाइट्रोजन (BUN)', 'బ్లడ్ యూరియా నైట్రోజన్ (BUN)', 'இரத்த யூரியா நைட்ரஜன் (BUN)', 'ব্লাড ইউরিয়া নাইট্রোজেন (বিইউএন)', 'रक्त युरिया नायट्रोजन (बीयूएन)', 'Raminder Ahlawat');</v>
      </c>
    </row>
    <row r="113" spans="1:8" x14ac:dyDescent="0.35">
      <c r="A113" t="s">
        <v>938</v>
      </c>
      <c r="B113" t="s">
        <v>1219</v>
      </c>
      <c r="C113" t="s">
        <v>1260</v>
      </c>
      <c r="D113" t="s">
        <v>1135</v>
      </c>
      <c r="E113" t="s">
        <v>1177</v>
      </c>
      <c r="F113" t="s">
        <v>1219</v>
      </c>
      <c r="H113" t="str">
        <f t="shared" si="3"/>
        <v>INSERT INTO QUESTIONNAIRE_LANGUAGE (NAME, HINDI, TELUGU, TAMIL, BENGALI, MARATHI, UPDATED_BY) VALUES('Creatinine', 'क्रिएटिनिन', 'క్రియేటినిన్', 'கிரியேட்டினின்', 'ক্রিয়েটিনিন', 'क्रिएटिनिन', 'Raminder Ahlawat');</v>
      </c>
    </row>
    <row r="114" spans="1:8" x14ac:dyDescent="0.35">
      <c r="A114" t="s">
        <v>939</v>
      </c>
      <c r="B114" t="s">
        <v>1299</v>
      </c>
      <c r="C114" t="s">
        <v>1261</v>
      </c>
      <c r="D114" t="s">
        <v>1136</v>
      </c>
      <c r="E114" t="s">
        <v>1178</v>
      </c>
      <c r="F114" t="s">
        <v>1220</v>
      </c>
      <c r="H114" t="str">
        <f t="shared" si="3"/>
        <v>INSERT INTO QUESTIONNAIRE_LANGUAGE (NAME, HINDI, TELUGU, TAMIL, BENGALI, MARATHI, UPDATED_BY) VALUES('Albumin', 'एल्बुमिन', 'ఆల్బుమిన్', 'ஆல்புமின்', 'অ্যালবুমিন', 'अल्ब्युमिन', 'Raminder Ahlawat');</v>
      </c>
    </row>
    <row r="115" spans="1:8" x14ac:dyDescent="0.35">
      <c r="A115" t="s">
        <v>954</v>
      </c>
      <c r="B115" t="s">
        <v>1300</v>
      </c>
      <c r="C115" t="s">
        <v>1262</v>
      </c>
      <c r="D115" t="s">
        <v>1137</v>
      </c>
      <c r="E115" t="s">
        <v>1179</v>
      </c>
      <c r="F115" t="s">
        <v>1221</v>
      </c>
      <c r="H115" t="str">
        <f t="shared" si="3"/>
        <v>INSERT INTO QUESTIONNAIRE_LANGUAGE (NAME, HINDI, TELUGU, TAMIL, BENGALI, MARATHI, UPDATED_BY) VALUES('Total Protein', 'कुल प्रोटीन', 'మొత్తం ప్రోటీన్', 'மொத்த புரதம்', 'মোট প্রোটিন', 'एकूण प्रथिने', 'Raminder Ahlawat');</v>
      </c>
    </row>
    <row r="116" spans="1:8" x14ac:dyDescent="0.35">
      <c r="A116" t="s">
        <v>940</v>
      </c>
      <c r="B116" t="s">
        <v>1301</v>
      </c>
      <c r="C116" t="s">
        <v>1263</v>
      </c>
      <c r="D116" t="s">
        <v>1138</v>
      </c>
      <c r="E116" t="s">
        <v>1180</v>
      </c>
      <c r="F116" t="s">
        <v>1240</v>
      </c>
      <c r="H116" t="str">
        <f t="shared" si="3"/>
        <v>INSERT INTO QUESTIONNAIRE_LANGUAGE (NAME, HINDI, TELUGU, TAMIL, BENGALI, MARATHI, UPDATED_BY) VALUES('Alkaline Phosphatase (ALP)', 'क्षारीय फॉस्फेट (एएलपी)', 'ఆల్కలీన్ ఫాస్ఫేటేస్ (ఎఎల్పి)', 'அல்கலைன் பாஸ்பேடேஸ் (ALP)', 'ক্ষারীয় ফসফেটেজ (এএলপি)', 'अल्कधर्मी फॉस्फेट (एएलपी)', 'Raminder Ahlawat');</v>
      </c>
    </row>
    <row r="117" spans="1:8" x14ac:dyDescent="0.35">
      <c r="A117" t="s">
        <v>941</v>
      </c>
      <c r="B117" t="s">
        <v>1302</v>
      </c>
      <c r="C117" t="s">
        <v>1264</v>
      </c>
      <c r="D117" t="s">
        <v>1139</v>
      </c>
      <c r="E117" t="s">
        <v>1181</v>
      </c>
      <c r="F117" t="s">
        <v>1241</v>
      </c>
      <c r="H117" t="str">
        <f t="shared" si="3"/>
        <v>INSERT INTO QUESTIONNAIRE_LANGUAGE (NAME, HINDI, TELUGU, TAMIL, BENGALI, MARATHI, UPDATED_BY) VALUES('Alanine Aminotransferase (ALT)', 'एलानिन एमिनोट्रांस्फरेज़ (ALT)', 'అలనైన్ అమైనోట్రాన్స్ఫెరేస్ (ఎఎల్టి)', 'அலனைன் அமினோட்ரான்ஸ்ஃபெரேஸ் (ALT)', 'অ্যালানাইন অ্যামিনোট্রান্সফেরাজ (এএলটি)', 'अलेनिन अमिनोट्रान्सफेरस (एएलटी)', 'Raminder Ahlawat');</v>
      </c>
    </row>
    <row r="118" spans="1:8" x14ac:dyDescent="0.35">
      <c r="A118" t="s">
        <v>942</v>
      </c>
      <c r="B118" t="s">
        <v>1303</v>
      </c>
      <c r="C118" t="s">
        <v>1265</v>
      </c>
      <c r="D118" t="s">
        <v>1140</v>
      </c>
      <c r="E118" t="s">
        <v>1182</v>
      </c>
      <c r="F118" t="s">
        <v>1222</v>
      </c>
      <c r="H118" t="str">
        <f t="shared" si="3"/>
        <v>INSERT INTO QUESTIONNAIRE_LANGUAGE (NAME, HINDI, TELUGU, TAMIL, BENGALI, MARATHI, UPDATED_BY) VALUES('Aspartate Aminotransferase (AST)', 'एस्पार्टेट एमिनोट्रांसफरेज़ (एएसटी)', 'అస్పర్టేట్ అమైనోట్రాన్స్ఫెరేస్ (ఎఎస్టి)', 'அஸ்பார்டேட் அமினோட்ரான்ஸ்ஃபெரேஸ் (AST)', 'অ্যাস্পার্টেট অ্যামিনোট্রান্সফেরাজ (এএসটি)', 'एस्पार्टेट अमिनोट्रान्सफेरस (एएसटी)', 'Raminder Ahlawat');</v>
      </c>
    </row>
    <row r="119" spans="1:8" x14ac:dyDescent="0.35">
      <c r="A119" t="s">
        <v>943</v>
      </c>
      <c r="B119" t="s">
        <v>1304</v>
      </c>
      <c r="C119" t="s">
        <v>943</v>
      </c>
      <c r="D119" t="s">
        <v>1141</v>
      </c>
      <c r="E119" t="s">
        <v>1183</v>
      </c>
      <c r="F119" t="s">
        <v>1223</v>
      </c>
      <c r="H119" t="str">
        <f t="shared" si="3"/>
        <v>INSERT INTO QUESTIONNAIRE_LANGUAGE (NAME, HINDI, TELUGU, TAMIL, BENGALI, MARATHI, UPDATED_BY) VALUES('Bilirubin', 'बिलिरूबिन', 'Bilirubin', 'பிலிரூபின்', 'বিলিরুবিন', 'बिलीरुबिन', 'Raminder Ahlawat');</v>
      </c>
    </row>
    <row r="120" spans="1:8" x14ac:dyDescent="0.35">
      <c r="A120" t="s">
        <v>1065</v>
      </c>
      <c r="B120" t="s">
        <v>1305</v>
      </c>
      <c r="C120" t="s">
        <v>1266</v>
      </c>
      <c r="D120" t="s">
        <v>1142</v>
      </c>
      <c r="E120" t="s">
        <v>1184</v>
      </c>
      <c r="F120" t="s">
        <v>1224</v>
      </c>
      <c r="H120" t="str">
        <f t="shared" si="3"/>
        <v>INSERT INTO QUESTIONNAIRE_LANGUAGE (NAME, HINDI, TELUGU, TAMIL, BENGALI, MARATHI, UPDATED_BY) VALUES('Insulin', 'इनसुलिन', 'ఇన్సులిన్', 'இன்சுலின்', 'ইনসুলিন', 'इन्सुलिन', 'Raminder Ahlawat');</v>
      </c>
    </row>
    <row r="121" spans="1:8" x14ac:dyDescent="0.35">
      <c r="A121" t="s">
        <v>927</v>
      </c>
      <c r="B121" t="s">
        <v>1306</v>
      </c>
      <c r="C121" t="s">
        <v>1267</v>
      </c>
      <c r="D121" t="s">
        <v>1143</v>
      </c>
      <c r="E121" t="s">
        <v>1185</v>
      </c>
      <c r="F121" t="s">
        <v>1242</v>
      </c>
      <c r="H121" t="str">
        <f t="shared" si="3"/>
        <v>INSERT INTO QUESTIONNAIRE_LANGUAGE (NAME, HINDI, TELUGU, TAMIL, BENGALI, MARATHI, UPDATED_BY) VALUES('High-density lipoprotein (HDL) cholesterol', 'उच्च घनत्व वाले लिपोप्रोटीन (एचडीएल) कोलेस्ट्रॉल', 'అధిక-సాంద్రత కలిగిన లిపోప్రొటీన్ (హెచ్డిఎల్) కొలెస్ట్రాల్', 'உயர் அடர்த்தி கொழுப்புப்புரதம் (HDL) கொழுப்பு', 'উচ্চ ঘনত্বের লাইপোপ্রোটিন (এইচডিএল) কোলেস্টেরল', 'उच्च-घनतेचे लिपोप्रोटीन (एचडीएल) कोलेस्ट्रॉल', 'Raminder Ahlawat');</v>
      </c>
    </row>
    <row r="122" spans="1:8" x14ac:dyDescent="0.35">
      <c r="A122" t="s">
        <v>928</v>
      </c>
      <c r="B122" t="s">
        <v>1307</v>
      </c>
      <c r="C122" t="s">
        <v>1268</v>
      </c>
      <c r="D122" t="s">
        <v>1144</v>
      </c>
      <c r="E122" t="s">
        <v>1186</v>
      </c>
      <c r="F122" t="s">
        <v>1243</v>
      </c>
      <c r="H122" t="str">
        <f t="shared" si="3"/>
        <v>INSERT INTO QUESTIONNAIRE_LANGUAGE (NAME, HINDI, TELUGU, TAMIL, BENGALI, MARATHI, UPDATED_BY) VALUES('Low-density lipoprotein (LDL) cholesterol', 'कम घनत्व वाले लिपोप्रोटीन (एलडीएल) कोलेस्ट्रॉल', 'తక్కువ-సాంద్రత కలిగిన లిపోప్రొటీన్ (ఎల్డిఎల్) కొలెస్ట్రాల్', 'குறைந்த அடர்த்தி கொழுப்புப்புரதம் (LDL) கொழுப்பு', 'কম ঘনত্বের লাইপোপ্রোটিন (এলডিএল) কোলেস্টেরল', 'कमी घनतेचे लिपोप्रोटीन (एलडीएल) कोलेस्ट्रॉल', 'Raminder Ahlawat');</v>
      </c>
    </row>
    <row r="123" spans="1:8" x14ac:dyDescent="0.35">
      <c r="A123" t="s">
        <v>929</v>
      </c>
      <c r="B123" t="s">
        <v>1308</v>
      </c>
      <c r="C123" t="s">
        <v>1269</v>
      </c>
      <c r="D123" t="s">
        <v>1145</v>
      </c>
      <c r="E123" t="s">
        <v>1187</v>
      </c>
      <c r="F123" t="s">
        <v>1225</v>
      </c>
      <c r="H123" t="str">
        <f t="shared" si="3"/>
        <v>INSERT INTO QUESTIONNAIRE_LANGUAGE (NAME, HINDI, TELUGU, TAMIL, BENGALI, MARATHI, UPDATED_BY) VALUES('Triglycerides', 'ट्राइग्लिसराइड्स', 'ట్రైగ్లిజరైడ్స్', 'ட்ரைகிளிசரைடுகள்', 'ট্রাইগ্লিসারাইড', 'ट्रायग्लिसेराइड्स', 'Raminder Ahlawat');</v>
      </c>
    </row>
    <row r="124" spans="1:8" x14ac:dyDescent="0.35">
      <c r="A124" t="s">
        <v>930</v>
      </c>
      <c r="B124" t="s">
        <v>1309</v>
      </c>
      <c r="C124" t="s">
        <v>1270</v>
      </c>
      <c r="D124" t="s">
        <v>1146</v>
      </c>
      <c r="E124" t="s">
        <v>1188</v>
      </c>
      <c r="F124" t="s">
        <v>1226</v>
      </c>
      <c r="H124" t="str">
        <f t="shared" si="3"/>
        <v>INSERT INTO QUESTIONNAIRE_LANGUAGE (NAME, HINDI, TELUGU, TAMIL, BENGALI, MARATHI, UPDATED_BY) VALUES('Total cholesterol', 'कुल कोलेस्ट्रॉल', 'మొత్తం కొలెస్ట్రాల్', 'மொத்த கொழுப்பு', 'মোট কোলেস্টেরল', 'एकूण कोलेस्ट्रॉल', 'Raminder Ahlawat');</v>
      </c>
    </row>
    <row r="125" spans="1:8" x14ac:dyDescent="0.35">
      <c r="A125" t="s">
        <v>899</v>
      </c>
      <c r="B125" t="s">
        <v>1310</v>
      </c>
      <c r="C125" t="s">
        <v>1271</v>
      </c>
      <c r="D125" t="s">
        <v>1147</v>
      </c>
      <c r="E125" t="s">
        <v>1189</v>
      </c>
      <c r="F125" t="s">
        <v>1227</v>
      </c>
      <c r="H125" t="str">
        <f t="shared" si="3"/>
        <v>INSERT INTO QUESTIONNAIRE_LANGUAGE (NAME, HINDI, TELUGU, TAMIL, BENGALI, MARATHI, UPDATED_BY) VALUES('Free T3', 'नि: शुल्क T3', 'ఉచిత టి3', 'இலவச டி 3', 'বিনামূল্যে T3', 'विनामूल्य टी 3', 'Raminder Ahlawat');</v>
      </c>
    </row>
    <row r="126" spans="1:8" x14ac:dyDescent="0.35">
      <c r="A126" t="s">
        <v>900</v>
      </c>
      <c r="B126" t="s">
        <v>1311</v>
      </c>
      <c r="C126" t="s">
        <v>1272</v>
      </c>
      <c r="D126" t="s">
        <v>1148</v>
      </c>
      <c r="E126" t="s">
        <v>1190</v>
      </c>
      <c r="F126" t="s">
        <v>1228</v>
      </c>
      <c r="H126" t="str">
        <f t="shared" si="3"/>
        <v>INSERT INTO QUESTIONNAIRE_LANGUAGE (NAME, HINDI, TELUGU, TAMIL, BENGALI, MARATHI, UPDATED_BY) VALUES('Free T4', 'नि: शुल्क T4', 'ఉచిత టి4', 'இலவச டி 4', 'বিনামূল্যে T4', 'विनामूल्य टी 4', 'Raminder Ahlawat');</v>
      </c>
    </row>
    <row r="127" spans="1:8" x14ac:dyDescent="0.35">
      <c r="A127" t="s">
        <v>901</v>
      </c>
      <c r="B127" t="s">
        <v>1229</v>
      </c>
      <c r="C127" t="s">
        <v>1273</v>
      </c>
      <c r="D127" t="s">
        <v>1149</v>
      </c>
      <c r="E127" t="s">
        <v>1191</v>
      </c>
      <c r="F127" t="s">
        <v>1229</v>
      </c>
      <c r="H127" t="str">
        <f t="shared" si="3"/>
        <v>INSERT INTO QUESTIONNAIRE_LANGUAGE (NAME, HINDI, TELUGU, TAMIL, BENGALI, MARATHI, UPDATED_BY) VALUES('TSH', 'टीएसएच', 'టీఎస్ హెచ్', 'டி.எஸ்.எச்', 'টিএসএইচ', 'टीएसएच', 'Raminder Ahlawat');</v>
      </c>
    </row>
    <row r="128" spans="1:8" x14ac:dyDescent="0.35">
      <c r="A128" t="s">
        <v>1046</v>
      </c>
      <c r="B128" t="s">
        <v>1312</v>
      </c>
      <c r="C128" t="s">
        <v>1274</v>
      </c>
      <c r="D128" t="s">
        <v>1150</v>
      </c>
      <c r="E128" t="s">
        <v>1192</v>
      </c>
      <c r="F128" t="s">
        <v>1230</v>
      </c>
      <c r="H128" t="str">
        <f t="shared" si="3"/>
        <v>INSERT INTO QUESTIONNAIRE_LANGUAGE (NAME, HINDI, TELUGU, TAMIL, BENGALI, MARATHI, UPDATED_BY) VALUES('Color and Transparency', 'रंग और पारदर्शिता', 'రంగు మరియు పారదర్శకత', 'நிறம் மற்றும் வெளிப்படைத்தன்மை', 'রঙ এবং স্বচ্ছতা', 'रंग आणि पारदर्शकता', 'Raminder Ahlawat');</v>
      </c>
    </row>
    <row r="129" spans="1:8" x14ac:dyDescent="0.35">
      <c r="A129" t="s">
        <v>1047</v>
      </c>
      <c r="B129" t="s">
        <v>1313</v>
      </c>
      <c r="C129" t="s">
        <v>1275</v>
      </c>
      <c r="D129" t="s">
        <v>1151</v>
      </c>
      <c r="E129" t="s">
        <v>1193</v>
      </c>
      <c r="F129" t="s">
        <v>1231</v>
      </c>
      <c r="H129" t="str">
        <f t="shared" si="3"/>
        <v>INSERT INTO QUESTIONNAIRE_LANGUAGE (NAME, HINDI, TELUGU, TAMIL, BENGALI, MARATHI, UPDATED_BY) VALUES('Specific Gravity', 'विशिष्ट गुरुत्व', 'నిర్దిష్ట గురుత్వాకర్షణ', 'குறிப்பிட்ட ஈர்ப்பு விசை', 'নির্দিষ্ট মাধ্যাকর্ষণ', 'विशिष्ट गुरुत्वाकर्षण', 'Raminder Ahlawat');</v>
      </c>
    </row>
    <row r="130" spans="1:8" x14ac:dyDescent="0.35">
      <c r="A130" t="s">
        <v>1048</v>
      </c>
      <c r="B130" t="s">
        <v>1314</v>
      </c>
      <c r="C130" t="s">
        <v>1276</v>
      </c>
      <c r="D130" t="s">
        <v>1152</v>
      </c>
      <c r="E130" t="s">
        <v>1194</v>
      </c>
      <c r="F130" t="s">
        <v>1232</v>
      </c>
      <c r="H130" t="str">
        <f t="shared" ref="H130:H137" si="4">CONCATENATE(H$1, "('",A130, "', '",B130,"', '",C130,"', '",D130,"', '",E130,"', '",F130,"', 'Raminder Ahlawat');")</f>
        <v>INSERT INTO QUESTIONNAIRE_LANGUAGE (NAME, HINDI, TELUGU, TAMIL, BENGALI, MARATHI, UPDATED_BY) VALUES('pH Level', 'पीएच स्तर', 'pH స్థాయి', 'pH நிலை', 'পিএইচ লেভেল', 'पीएच पातळी', 'Raminder Ahlawat');</v>
      </c>
    </row>
    <row r="131" spans="1:8" x14ac:dyDescent="0.35">
      <c r="A131" t="s">
        <v>1049</v>
      </c>
      <c r="B131" t="s">
        <v>1315</v>
      </c>
      <c r="C131" t="s">
        <v>1277</v>
      </c>
      <c r="D131" t="s">
        <v>1153</v>
      </c>
      <c r="E131" t="s">
        <v>1195</v>
      </c>
      <c r="F131" t="s">
        <v>1233</v>
      </c>
      <c r="H131" t="str">
        <f t="shared" si="4"/>
        <v>INSERT INTO QUESTIONNAIRE_LANGUAGE (NAME, HINDI, TELUGU, TAMIL, BENGALI, MARATHI, UPDATED_BY) VALUES('Protein', 'प्रोटीन', 'ప్రోటీన్', 'புரதம்', 'প্রোটিন', 'प्रथिने', 'Raminder Ahlawat');</v>
      </c>
    </row>
    <row r="132" spans="1:8" x14ac:dyDescent="0.35">
      <c r="A132" t="s">
        <v>1050</v>
      </c>
      <c r="B132" t="s">
        <v>1316</v>
      </c>
      <c r="C132" t="s">
        <v>1278</v>
      </c>
      <c r="D132" t="s">
        <v>1154</v>
      </c>
      <c r="E132" t="s">
        <v>1196</v>
      </c>
      <c r="F132" t="s">
        <v>1234</v>
      </c>
      <c r="H132" t="str">
        <f t="shared" si="4"/>
        <v>INSERT INTO QUESTIONNAIRE_LANGUAGE (NAME, HINDI, TELUGU, TAMIL, BENGALI, MARATHI, UPDATED_BY) VALUES('Ketones', 'कीटोन्स', 'కీటోన్లు', 'கீட்டோன்கள்', 'কেটোনস', 'केटोन्स', 'Raminder Ahlawat');</v>
      </c>
    </row>
    <row r="133" spans="1:8" x14ac:dyDescent="0.35">
      <c r="A133" t="s">
        <v>1051</v>
      </c>
      <c r="B133" t="s">
        <v>1317</v>
      </c>
      <c r="C133" t="s">
        <v>1279</v>
      </c>
      <c r="D133" t="s">
        <v>1155</v>
      </c>
      <c r="E133" t="s">
        <v>1197</v>
      </c>
      <c r="F133" t="s">
        <v>1235</v>
      </c>
      <c r="H133" t="str">
        <f t="shared" si="4"/>
        <v>INSERT INTO QUESTIONNAIRE_LANGUAGE (NAME, HINDI, TELUGU, TAMIL, BENGALI, MARATHI, UPDATED_BY) VALUES('Blood', 'रुधिर', 'రక్తం', 'குருதி', 'রক্ত', 'रक्त', 'Raminder Ahlawat');</v>
      </c>
    </row>
    <row r="134" spans="1:8" x14ac:dyDescent="0.35">
      <c r="A134" t="s">
        <v>1071</v>
      </c>
      <c r="B134" t="s">
        <v>1236</v>
      </c>
      <c r="C134" t="s">
        <v>1280</v>
      </c>
      <c r="D134" t="s">
        <v>1156</v>
      </c>
      <c r="E134" t="s">
        <v>1198</v>
      </c>
      <c r="F134" t="s">
        <v>1236</v>
      </c>
      <c r="H134" t="str">
        <f t="shared" si="4"/>
        <v>INSERT INTO QUESTIONNAIRE_LANGUAGE (NAME, HINDI, TELUGU, TAMIL, BENGALI, MARATHI, UPDATED_BY) VALUES('Ferritin', 'फेरिटिन', 'ఫెర్రిటిన్', 'ஃபெரிடின்', 'ফেরিটিন', 'फेरिटिन', 'Raminder Ahlawat');</v>
      </c>
    </row>
    <row r="135" spans="1:8" x14ac:dyDescent="0.35">
      <c r="A135" t="s">
        <v>1072</v>
      </c>
      <c r="B135" t="s">
        <v>1318</v>
      </c>
      <c r="C135" t="s">
        <v>1281</v>
      </c>
      <c r="D135" t="s">
        <v>1157</v>
      </c>
      <c r="E135" t="s">
        <v>1199</v>
      </c>
      <c r="F135" t="s">
        <v>1237</v>
      </c>
      <c r="H135" t="str">
        <f t="shared" si="4"/>
        <v>INSERT INTO QUESTIONNAIRE_LANGUAGE (NAME, HINDI, TELUGU, TAMIL, BENGALI, MARATHI, UPDATED_BY) VALUES('Iron', 'लोहा', 'ఇనుము', 'இரும்பு', 'আকরিক', 'लोखंड', 'Raminder Ahlawat');</v>
      </c>
    </row>
    <row r="136" spans="1:8" x14ac:dyDescent="0.35">
      <c r="A136" t="s">
        <v>1073</v>
      </c>
      <c r="B136" t="s">
        <v>1238</v>
      </c>
      <c r="C136" t="s">
        <v>1282</v>
      </c>
      <c r="D136" t="s">
        <v>1158</v>
      </c>
      <c r="E136" t="s">
        <v>1200</v>
      </c>
      <c r="F136" t="s">
        <v>1238</v>
      </c>
      <c r="H136" t="str">
        <f t="shared" si="4"/>
        <v>INSERT INTO QUESTIONNAIRE_LANGUAGE (NAME, HINDI, TELUGU, TAMIL, BENGALI, MARATHI, UPDATED_BY) VALUES('Reticulocytes', 'रेटिकुलोसाइट्स', 'రెటికులోసైట్లు', 'ரெட்டிகுலோசைட்டுகள்', 'রেটিকুলোসাইট', 'रेटिकुलोसाइट्स', 'Raminder Ahlawat');</v>
      </c>
    </row>
    <row r="137" spans="1:8" x14ac:dyDescent="0.35">
      <c r="A137" t="s">
        <v>1074</v>
      </c>
      <c r="B137" t="s">
        <v>1319</v>
      </c>
      <c r="C137" t="s">
        <v>1283</v>
      </c>
      <c r="D137" t="s">
        <v>1159</v>
      </c>
      <c r="E137" t="s">
        <v>1201</v>
      </c>
      <c r="F137" t="s">
        <v>1239</v>
      </c>
      <c r="H137" t="str">
        <f t="shared" si="4"/>
        <v>INSERT INTO QUESTIONNAIRE_LANGUAGE (NAME, HINDI, TELUGU, TAMIL, BENGALI, MARATHI, UPDATED_BY) VALUES('Blood Smear', 'रक्त धब्बा', 'బ్లడ్ స్మెర్', 'இரத்த ஸ்மியர்', 'রক্তের দাগ', 'रक्त ाची डागडुजी', 'Raminder Ahlawat');</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5C946-0CA7-4E15-9EB3-32B6365FEDCC}">
  <dimension ref="A1:C137"/>
  <sheetViews>
    <sheetView workbookViewId="0"/>
  </sheetViews>
  <sheetFormatPr defaultRowHeight="14.5" x14ac:dyDescent="0.35"/>
  <cols>
    <col min="1" max="1" width="40.1796875" bestFit="1" customWidth="1"/>
  </cols>
  <sheetData>
    <row r="1" spans="1:3" ht="16.5" x14ac:dyDescent="0.35">
      <c r="A1" t="s">
        <v>156</v>
      </c>
      <c r="C1" s="42"/>
    </row>
    <row r="2" spans="1:3" x14ac:dyDescent="0.35">
      <c r="A2" t="s">
        <v>158</v>
      </c>
    </row>
    <row r="3" spans="1:3" x14ac:dyDescent="0.35">
      <c r="A3" t="s">
        <v>171</v>
      </c>
    </row>
    <row r="4" spans="1:3" x14ac:dyDescent="0.35">
      <c r="A4" t="s">
        <v>172</v>
      </c>
    </row>
    <row r="5" spans="1:3" x14ac:dyDescent="0.35">
      <c r="A5" t="s">
        <v>163</v>
      </c>
    </row>
    <row r="6" spans="1:3" x14ac:dyDescent="0.35">
      <c r="A6" t="s">
        <v>193</v>
      </c>
    </row>
    <row r="7" spans="1:3" x14ac:dyDescent="0.35">
      <c r="A7" t="s">
        <v>164</v>
      </c>
    </row>
    <row r="8" spans="1:3" x14ac:dyDescent="0.35">
      <c r="A8" t="s">
        <v>1</v>
      </c>
    </row>
    <row r="9" spans="1:3" x14ac:dyDescent="0.35">
      <c r="A9" t="s">
        <v>185</v>
      </c>
    </row>
    <row r="10" spans="1:3" x14ac:dyDescent="0.35">
      <c r="A10" t="s">
        <v>5</v>
      </c>
    </row>
    <row r="11" spans="1:3" x14ac:dyDescent="0.35">
      <c r="A11" t="s">
        <v>166</v>
      </c>
    </row>
    <row r="12" spans="1:3" x14ac:dyDescent="0.35">
      <c r="A12" t="s">
        <v>186</v>
      </c>
    </row>
    <row r="13" spans="1:3" x14ac:dyDescent="0.35">
      <c r="A13" t="s">
        <v>187</v>
      </c>
    </row>
    <row r="14" spans="1:3" x14ac:dyDescent="0.35">
      <c r="A14" t="s">
        <v>13</v>
      </c>
    </row>
    <row r="15" spans="1:3" x14ac:dyDescent="0.35">
      <c r="A15" t="s">
        <v>188</v>
      </c>
    </row>
    <row r="16" spans="1:3" x14ac:dyDescent="0.35">
      <c r="A16" t="s">
        <v>189</v>
      </c>
    </row>
    <row r="17" spans="1:1" x14ac:dyDescent="0.35">
      <c r="A17" t="s">
        <v>190</v>
      </c>
    </row>
    <row r="18" spans="1:1" x14ac:dyDescent="0.35">
      <c r="A18" t="s">
        <v>54</v>
      </c>
    </row>
    <row r="19" spans="1:1" x14ac:dyDescent="0.35">
      <c r="A19" t="s">
        <v>55</v>
      </c>
    </row>
    <row r="20" spans="1:1" x14ac:dyDescent="0.35">
      <c r="A20" t="s">
        <v>56</v>
      </c>
    </row>
    <row r="21" spans="1:1" x14ac:dyDescent="0.35">
      <c r="A21" t="s">
        <v>57</v>
      </c>
    </row>
    <row r="22" spans="1:1" x14ac:dyDescent="0.35">
      <c r="A22" t="s">
        <v>58</v>
      </c>
    </row>
    <row r="23" spans="1:1" x14ac:dyDescent="0.35">
      <c r="A23" t="s">
        <v>849</v>
      </c>
    </row>
    <row r="24" spans="1:1" x14ac:dyDescent="0.35">
      <c r="A24" t="s">
        <v>850</v>
      </c>
    </row>
    <row r="25" spans="1:1" x14ac:dyDescent="0.35">
      <c r="A25" s="35" t="s">
        <v>177</v>
      </c>
    </row>
    <row r="26" spans="1:1" x14ac:dyDescent="0.35">
      <c r="A26" s="35" t="s">
        <v>207</v>
      </c>
    </row>
    <row r="27" spans="1:1" x14ac:dyDescent="0.35">
      <c r="A27" s="35" t="s">
        <v>208</v>
      </c>
    </row>
    <row r="28" spans="1:1" x14ac:dyDescent="0.35">
      <c r="A28" s="35" t="s">
        <v>209</v>
      </c>
    </row>
    <row r="29" spans="1:1" x14ac:dyDescent="0.35">
      <c r="A29" s="35" t="s">
        <v>210</v>
      </c>
    </row>
    <row r="30" spans="1:1" x14ac:dyDescent="0.35">
      <c r="A30" s="35" t="s">
        <v>211</v>
      </c>
    </row>
    <row r="31" spans="1:1" x14ac:dyDescent="0.35">
      <c r="A31" s="35" t="s">
        <v>212</v>
      </c>
    </row>
    <row r="32" spans="1:1" x14ac:dyDescent="0.35">
      <c r="A32" s="35" t="s">
        <v>178</v>
      </c>
    </row>
    <row r="33" spans="1:1" x14ac:dyDescent="0.35">
      <c r="A33" t="s">
        <v>179</v>
      </c>
    </row>
    <row r="34" spans="1:1" x14ac:dyDescent="0.35">
      <c r="A34" t="s">
        <v>180</v>
      </c>
    </row>
    <row r="35" spans="1:1" x14ac:dyDescent="0.35">
      <c r="A35" t="s">
        <v>181</v>
      </c>
    </row>
    <row r="36" spans="1:1" x14ac:dyDescent="0.35">
      <c r="A36" t="s">
        <v>182</v>
      </c>
    </row>
    <row r="37" spans="1:1" x14ac:dyDescent="0.35">
      <c r="A37" t="s">
        <v>48</v>
      </c>
    </row>
    <row r="38" spans="1:1" x14ac:dyDescent="0.35">
      <c r="A38" t="s">
        <v>47</v>
      </c>
    </row>
    <row r="39" spans="1:1" x14ac:dyDescent="0.35">
      <c r="A39" t="s">
        <v>191</v>
      </c>
    </row>
    <row r="40" spans="1:1" x14ac:dyDescent="0.35">
      <c r="A40" t="s">
        <v>192</v>
      </c>
    </row>
    <row r="41" spans="1:1" x14ac:dyDescent="0.35">
      <c r="A41" t="s">
        <v>231</v>
      </c>
    </row>
    <row r="42" spans="1:1" x14ac:dyDescent="0.35">
      <c r="A42" t="s">
        <v>232</v>
      </c>
    </row>
    <row r="43" spans="1:1" x14ac:dyDescent="0.35">
      <c r="A43" t="s">
        <v>233</v>
      </c>
    </row>
    <row r="44" spans="1:1" x14ac:dyDescent="0.35">
      <c r="A44" t="s">
        <v>234</v>
      </c>
    </row>
    <row r="45" spans="1:1" x14ac:dyDescent="0.35">
      <c r="A45" t="s">
        <v>2</v>
      </c>
    </row>
    <row r="46" spans="1:1" x14ac:dyDescent="0.35">
      <c r="A46" t="s">
        <v>75</v>
      </c>
    </row>
    <row r="47" spans="1:1" x14ac:dyDescent="0.35">
      <c r="A47" t="s">
        <v>76</v>
      </c>
    </row>
    <row r="48" spans="1:1" x14ac:dyDescent="0.35">
      <c r="A48" t="s">
        <v>235</v>
      </c>
    </row>
    <row r="49" spans="1:1" x14ac:dyDescent="0.35">
      <c r="A49" t="s">
        <v>78</v>
      </c>
    </row>
    <row r="50" spans="1:1" x14ac:dyDescent="0.35">
      <c r="A50" t="s">
        <v>80</v>
      </c>
    </row>
    <row r="51" spans="1:1" x14ac:dyDescent="0.35">
      <c r="A51" t="s">
        <v>79</v>
      </c>
    </row>
    <row r="52" spans="1:1" x14ac:dyDescent="0.35">
      <c r="A52" t="s">
        <v>4</v>
      </c>
    </row>
    <row r="53" spans="1:1" x14ac:dyDescent="0.35">
      <c r="A53" t="s">
        <v>239</v>
      </c>
    </row>
    <row r="54" spans="1:1" x14ac:dyDescent="0.35">
      <c r="A54" t="s">
        <v>240</v>
      </c>
    </row>
    <row r="55" spans="1:1" x14ac:dyDescent="0.35">
      <c r="A55" t="s">
        <v>241</v>
      </c>
    </row>
    <row r="56" spans="1:1" x14ac:dyDescent="0.35">
      <c r="A56" t="s">
        <v>242</v>
      </c>
    </row>
    <row r="57" spans="1:1" x14ac:dyDescent="0.35">
      <c r="A57" t="s">
        <v>243</v>
      </c>
    </row>
    <row r="58" spans="1:1" x14ac:dyDescent="0.35">
      <c r="A58" t="s">
        <v>249</v>
      </c>
    </row>
    <row r="59" spans="1:1" x14ac:dyDescent="0.35">
      <c r="A59" t="s">
        <v>9</v>
      </c>
    </row>
    <row r="60" spans="1:1" x14ac:dyDescent="0.35">
      <c r="A60" t="s">
        <v>10</v>
      </c>
    </row>
    <row r="61" spans="1:1" x14ac:dyDescent="0.35">
      <c r="A61" t="s">
        <v>6</v>
      </c>
    </row>
    <row r="62" spans="1:1" x14ac:dyDescent="0.35">
      <c r="A62" t="s">
        <v>12</v>
      </c>
    </row>
    <row r="63" spans="1:1" x14ac:dyDescent="0.35">
      <c r="A63" t="s">
        <v>88</v>
      </c>
    </row>
    <row r="64" spans="1:1" x14ac:dyDescent="0.35">
      <c r="A64" t="s">
        <v>89</v>
      </c>
    </row>
    <row r="65" spans="1:1" x14ac:dyDescent="0.35">
      <c r="A65" t="s">
        <v>14</v>
      </c>
    </row>
    <row r="66" spans="1:1" x14ac:dyDescent="0.35">
      <c r="A66" t="s">
        <v>17</v>
      </c>
    </row>
    <row r="67" spans="1:1" x14ac:dyDescent="0.35">
      <c r="A67" t="s">
        <v>18</v>
      </c>
    </row>
    <row r="68" spans="1:1" x14ac:dyDescent="0.35">
      <c r="A68" t="s">
        <v>19</v>
      </c>
    </row>
    <row r="69" spans="1:1" x14ac:dyDescent="0.35">
      <c r="A69" t="s">
        <v>20</v>
      </c>
    </row>
    <row r="70" spans="1:1" x14ac:dyDescent="0.35">
      <c r="A70" t="s">
        <v>22</v>
      </c>
    </row>
    <row r="71" spans="1:1" x14ac:dyDescent="0.35">
      <c r="A71" t="s">
        <v>90</v>
      </c>
    </row>
    <row r="72" spans="1:1" x14ac:dyDescent="0.35">
      <c r="A72" t="s">
        <v>91</v>
      </c>
    </row>
    <row r="73" spans="1:1" x14ac:dyDescent="0.35">
      <c r="A73" t="s">
        <v>92</v>
      </c>
    </row>
    <row r="74" spans="1:1" x14ac:dyDescent="0.35">
      <c r="A74" t="s">
        <v>23</v>
      </c>
    </row>
    <row r="75" spans="1:1" x14ac:dyDescent="0.35">
      <c r="A75" t="s">
        <v>24</v>
      </c>
    </row>
    <row r="76" spans="1:1" x14ac:dyDescent="0.35">
      <c r="A76" t="s">
        <v>25</v>
      </c>
    </row>
    <row r="77" spans="1:1" x14ac:dyDescent="0.35">
      <c r="A77" t="s">
        <v>26</v>
      </c>
    </row>
    <row r="78" spans="1:1" x14ac:dyDescent="0.35">
      <c r="A78" t="s">
        <v>247</v>
      </c>
    </row>
    <row r="79" spans="1:1" x14ac:dyDescent="0.35">
      <c r="A79" t="s">
        <v>246</v>
      </c>
    </row>
    <row r="80" spans="1:1" x14ac:dyDescent="0.35">
      <c r="A80" t="s">
        <v>248</v>
      </c>
    </row>
    <row r="81" spans="1:1" x14ac:dyDescent="0.35">
      <c r="A81" t="s">
        <v>41</v>
      </c>
    </row>
    <row r="82" spans="1:1" x14ac:dyDescent="0.35">
      <c r="A82" t="s">
        <v>203</v>
      </c>
    </row>
    <row r="83" spans="1:1" x14ac:dyDescent="0.35">
      <c r="A83" t="s">
        <v>204</v>
      </c>
    </row>
    <row r="84" spans="1:1" x14ac:dyDescent="0.35">
      <c r="A84" t="s">
        <v>1402</v>
      </c>
    </row>
    <row r="85" spans="1:1" x14ac:dyDescent="0.35">
      <c r="A85" t="s">
        <v>206</v>
      </c>
    </row>
    <row r="86" spans="1:1" x14ac:dyDescent="0.35">
      <c r="A86" t="s">
        <v>97</v>
      </c>
    </row>
    <row r="87" spans="1:1" x14ac:dyDescent="0.35">
      <c r="A87" t="s">
        <v>98</v>
      </c>
    </row>
    <row r="88" spans="1:1" x14ac:dyDescent="0.35">
      <c r="A88" t="s">
        <v>99</v>
      </c>
    </row>
    <row r="89" spans="1:1" x14ac:dyDescent="0.35">
      <c r="A89" t="s">
        <v>194</v>
      </c>
    </row>
    <row r="90" spans="1:1" x14ac:dyDescent="0.35">
      <c r="A90" t="s">
        <v>266</v>
      </c>
    </row>
    <row r="91" spans="1:1" x14ac:dyDescent="0.35">
      <c r="A91" t="s">
        <v>267</v>
      </c>
    </row>
    <row r="92" spans="1:1" x14ac:dyDescent="0.35">
      <c r="A92" t="s">
        <v>1095</v>
      </c>
    </row>
    <row r="93" spans="1:1" x14ac:dyDescent="0.35">
      <c r="A93" t="s">
        <v>1094</v>
      </c>
    </row>
    <row r="94" spans="1:1" x14ac:dyDescent="0.35">
      <c r="A94" t="s">
        <v>1096</v>
      </c>
    </row>
    <row r="95" spans="1:1" x14ac:dyDescent="0.35">
      <c r="A95" t="s">
        <v>1093</v>
      </c>
    </row>
    <row r="96" spans="1:1" x14ac:dyDescent="0.35">
      <c r="A96" t="s">
        <v>902</v>
      </c>
    </row>
    <row r="97" spans="1:1" x14ac:dyDescent="0.35">
      <c r="A97" t="s">
        <v>921</v>
      </c>
    </row>
    <row r="98" spans="1:1" x14ac:dyDescent="0.35">
      <c r="A98" t="s">
        <v>922</v>
      </c>
    </row>
    <row r="99" spans="1:1" x14ac:dyDescent="0.35">
      <c r="A99" t="s">
        <v>924</v>
      </c>
    </row>
    <row r="100" spans="1:1" x14ac:dyDescent="0.35">
      <c r="A100" t="s">
        <v>923</v>
      </c>
    </row>
    <row r="101" spans="1:1" x14ac:dyDescent="0.35">
      <c r="A101" t="s">
        <v>1045</v>
      </c>
    </row>
    <row r="102" spans="1:1" x14ac:dyDescent="0.35">
      <c r="A102" t="s">
        <v>1070</v>
      </c>
    </row>
    <row r="103" spans="1:1" x14ac:dyDescent="0.35">
      <c r="A103" t="s">
        <v>903</v>
      </c>
    </row>
    <row r="104" spans="1:1" x14ac:dyDescent="0.35">
      <c r="A104" t="s">
        <v>904</v>
      </c>
    </row>
    <row r="105" spans="1:1" x14ac:dyDescent="0.35">
      <c r="A105" t="s">
        <v>905</v>
      </c>
    </row>
    <row r="106" spans="1:1" x14ac:dyDescent="0.35">
      <c r="A106" t="s">
        <v>906</v>
      </c>
    </row>
    <row r="107" spans="1:1" x14ac:dyDescent="0.35">
      <c r="A107" t="s">
        <v>932</v>
      </c>
    </row>
    <row r="108" spans="1:1" x14ac:dyDescent="0.35">
      <c r="A108" t="s">
        <v>933</v>
      </c>
    </row>
    <row r="109" spans="1:1" x14ac:dyDescent="0.35">
      <c r="A109" t="s">
        <v>934</v>
      </c>
    </row>
    <row r="110" spans="1:1" x14ac:dyDescent="0.35">
      <c r="A110" t="s">
        <v>935</v>
      </c>
    </row>
    <row r="111" spans="1:1" x14ac:dyDescent="0.35">
      <c r="A111" t="s">
        <v>936</v>
      </c>
    </row>
    <row r="112" spans="1:1" x14ac:dyDescent="0.35">
      <c r="A112" t="s">
        <v>937</v>
      </c>
    </row>
    <row r="113" spans="1:1" x14ac:dyDescent="0.35">
      <c r="A113" t="s">
        <v>938</v>
      </c>
    </row>
    <row r="114" spans="1:1" x14ac:dyDescent="0.35">
      <c r="A114" t="s">
        <v>939</v>
      </c>
    </row>
    <row r="115" spans="1:1" x14ac:dyDescent="0.35">
      <c r="A115" t="s">
        <v>954</v>
      </c>
    </row>
    <row r="116" spans="1:1" x14ac:dyDescent="0.35">
      <c r="A116" t="s">
        <v>940</v>
      </c>
    </row>
    <row r="117" spans="1:1" x14ac:dyDescent="0.35">
      <c r="A117" t="s">
        <v>941</v>
      </c>
    </row>
    <row r="118" spans="1:1" x14ac:dyDescent="0.35">
      <c r="A118" t="s">
        <v>942</v>
      </c>
    </row>
    <row r="119" spans="1:1" x14ac:dyDescent="0.35">
      <c r="A119" t="s">
        <v>943</v>
      </c>
    </row>
    <row r="120" spans="1:1" x14ac:dyDescent="0.35">
      <c r="A120" t="s">
        <v>1065</v>
      </c>
    </row>
    <row r="121" spans="1:1" x14ac:dyDescent="0.35">
      <c r="A121" t="s">
        <v>927</v>
      </c>
    </row>
    <row r="122" spans="1:1" x14ac:dyDescent="0.35">
      <c r="A122" t="s">
        <v>928</v>
      </c>
    </row>
    <row r="123" spans="1:1" x14ac:dyDescent="0.35">
      <c r="A123" t="s">
        <v>929</v>
      </c>
    </row>
    <row r="124" spans="1:1" x14ac:dyDescent="0.35">
      <c r="A124" t="s">
        <v>930</v>
      </c>
    </row>
    <row r="125" spans="1:1" x14ac:dyDescent="0.35">
      <c r="A125" t="s">
        <v>899</v>
      </c>
    </row>
    <row r="126" spans="1:1" x14ac:dyDescent="0.35">
      <c r="A126" t="s">
        <v>900</v>
      </c>
    </row>
    <row r="127" spans="1:1" x14ac:dyDescent="0.35">
      <c r="A127" t="s">
        <v>901</v>
      </c>
    </row>
    <row r="128" spans="1:1" x14ac:dyDescent="0.35">
      <c r="A128" t="s">
        <v>1046</v>
      </c>
    </row>
    <row r="129" spans="1:1" x14ac:dyDescent="0.35">
      <c r="A129" t="s">
        <v>1047</v>
      </c>
    </row>
    <row r="130" spans="1:1" x14ac:dyDescent="0.35">
      <c r="A130" t="s">
        <v>1048</v>
      </c>
    </row>
    <row r="131" spans="1:1" x14ac:dyDescent="0.35">
      <c r="A131" t="s">
        <v>1049</v>
      </c>
    </row>
    <row r="132" spans="1:1" x14ac:dyDescent="0.35">
      <c r="A132" t="s">
        <v>1050</v>
      </c>
    </row>
    <row r="133" spans="1:1" x14ac:dyDescent="0.35">
      <c r="A133" t="s">
        <v>1051</v>
      </c>
    </row>
    <row r="134" spans="1:1" x14ac:dyDescent="0.35">
      <c r="A134" t="s">
        <v>1071</v>
      </c>
    </row>
    <row r="135" spans="1:1" x14ac:dyDescent="0.35">
      <c r="A135" t="s">
        <v>1072</v>
      </c>
    </row>
    <row r="136" spans="1:1" x14ac:dyDescent="0.35">
      <c r="A136" t="s">
        <v>1073</v>
      </c>
    </row>
    <row r="137" spans="1:1" x14ac:dyDescent="0.35">
      <c r="A137" t="s">
        <v>1074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710C8-5FD7-4297-AA22-14CBAE8A498B}">
  <sheetPr codeName="Sheet18"/>
  <dimension ref="A1:G31"/>
  <sheetViews>
    <sheetView topLeftCell="A6" zoomScale="75" zoomScaleNormal="75" workbookViewId="0">
      <selection activeCell="K8" sqref="K8"/>
    </sheetView>
  </sheetViews>
  <sheetFormatPr defaultRowHeight="14.5" x14ac:dyDescent="0.35"/>
  <cols>
    <col min="1" max="1" width="13.81640625" style="32" customWidth="1"/>
    <col min="2" max="2" width="29.7265625" customWidth="1"/>
    <col min="3" max="3" width="38.1796875" customWidth="1"/>
    <col min="4" max="4" width="19" customWidth="1"/>
    <col min="5" max="5" width="29.81640625" customWidth="1"/>
    <col min="6" max="6" width="85.36328125" hidden="1" customWidth="1"/>
    <col min="7" max="7" width="62.90625" hidden="1" customWidth="1"/>
  </cols>
  <sheetData>
    <row r="1" spans="1:7" s="32" customFormat="1" ht="54.5" customHeight="1" x14ac:dyDescent="0.35"/>
    <row r="2" spans="1:7" ht="26.5" customHeight="1" x14ac:dyDescent="0.35">
      <c r="A2" s="45" t="s">
        <v>775</v>
      </c>
      <c r="B2" s="115" t="s">
        <v>200</v>
      </c>
      <c r="C2" s="115"/>
      <c r="D2" s="115"/>
      <c r="E2" s="115"/>
    </row>
    <row r="3" spans="1:7" ht="25" x14ac:dyDescent="0.35">
      <c r="A3" s="45" t="s">
        <v>778</v>
      </c>
      <c r="B3" s="115" t="s">
        <v>814</v>
      </c>
      <c r="C3" s="115"/>
      <c r="D3" s="115"/>
      <c r="E3" s="115"/>
      <c r="F3" s="44" t="s">
        <v>788</v>
      </c>
    </row>
    <row r="4" spans="1:7" ht="100" customHeight="1" x14ac:dyDescent="0.35">
      <c r="A4" s="117" t="s">
        <v>784</v>
      </c>
      <c r="B4" s="114" t="s">
        <v>807</v>
      </c>
      <c r="C4" s="115"/>
      <c r="D4" s="115"/>
      <c r="E4" s="115"/>
      <c r="F4" s="116" t="str">
        <f>CONCATENATE(F3,B4,F7)</f>
        <v>List l = session.createNativeQuery (""
SELECT GENDER, EXCELLENT,
    GOOD, AVERAGE
FROM WAIST_HIP
).getResultList();</v>
      </c>
      <c r="G4" s="43" t="s">
        <v>786</v>
      </c>
    </row>
    <row r="5" spans="1:7" ht="100" customHeight="1" x14ac:dyDescent="0.35">
      <c r="A5" s="117"/>
      <c r="B5" s="115"/>
      <c r="C5" s="115"/>
      <c r="D5" s="115"/>
      <c r="E5" s="115"/>
      <c r="F5" s="116"/>
      <c r="G5" t="s">
        <v>808</v>
      </c>
    </row>
    <row r="6" spans="1:7" ht="100" customHeight="1" x14ac:dyDescent="0.35">
      <c r="A6" s="117"/>
      <c r="B6" s="115"/>
      <c r="C6" s="115"/>
      <c r="D6" s="115"/>
      <c r="E6" s="115"/>
      <c r="F6" s="116"/>
      <c r="G6" t="s">
        <v>809</v>
      </c>
    </row>
    <row r="7" spans="1:7" s="32" customFormat="1" ht="25" x14ac:dyDescent="0.35">
      <c r="A7" s="31"/>
      <c r="B7" s="48" t="s">
        <v>776</v>
      </c>
      <c r="C7" s="48" t="s">
        <v>777</v>
      </c>
      <c r="D7" s="48" t="s">
        <v>801</v>
      </c>
      <c r="E7" s="48" t="s">
        <v>802</v>
      </c>
      <c r="F7" s="47" t="s">
        <v>787</v>
      </c>
      <c r="G7" s="32" t="s">
        <v>810</v>
      </c>
    </row>
    <row r="8" spans="1:7" x14ac:dyDescent="0.35">
      <c r="A8" s="46"/>
      <c r="B8" t="s">
        <v>213</v>
      </c>
      <c r="C8" t="s">
        <v>779</v>
      </c>
      <c r="D8" t="s">
        <v>783</v>
      </c>
      <c r="E8" s="50" t="s">
        <v>781</v>
      </c>
      <c r="F8" t="s">
        <v>824</v>
      </c>
      <c r="G8" t="s">
        <v>785</v>
      </c>
    </row>
    <row r="9" spans="1:7" x14ac:dyDescent="0.35">
      <c r="A9" s="46"/>
      <c r="B9" t="s">
        <v>228</v>
      </c>
      <c r="C9" t="s">
        <v>806</v>
      </c>
      <c r="D9" t="s">
        <v>783</v>
      </c>
      <c r="E9" s="50" t="s">
        <v>815</v>
      </c>
      <c r="F9" t="s">
        <v>825</v>
      </c>
    </row>
    <row r="10" spans="1:7" x14ac:dyDescent="0.35">
      <c r="A10" s="46"/>
      <c r="B10" t="s">
        <v>229</v>
      </c>
      <c r="C10" t="s">
        <v>806</v>
      </c>
      <c r="D10" t="s">
        <v>783</v>
      </c>
      <c r="E10" s="50" t="s">
        <v>804</v>
      </c>
      <c r="F10" t="s">
        <v>826</v>
      </c>
    </row>
    <row r="11" spans="1:7" x14ac:dyDescent="0.35">
      <c r="A11" s="46"/>
      <c r="B11" t="s">
        <v>230</v>
      </c>
      <c r="C11" t="s">
        <v>806</v>
      </c>
      <c r="D11" t="s">
        <v>783</v>
      </c>
      <c r="E11" s="50" t="s">
        <v>816</v>
      </c>
      <c r="F11" t="s">
        <v>827</v>
      </c>
    </row>
    <row r="12" spans="1:7" x14ac:dyDescent="0.35">
      <c r="A12" s="46"/>
      <c r="D12" t="s">
        <v>783</v>
      </c>
      <c r="E12" s="50" t="s">
        <v>799</v>
      </c>
      <c r="F12" t="s">
        <v>828</v>
      </c>
    </row>
    <row r="13" spans="1:7" x14ac:dyDescent="0.35">
      <c r="A13" s="46"/>
      <c r="D13" t="s">
        <v>780</v>
      </c>
      <c r="E13" s="50" t="s">
        <v>798</v>
      </c>
      <c r="F13" t="s">
        <v>829</v>
      </c>
    </row>
    <row r="14" spans="1:7" x14ac:dyDescent="0.35">
      <c r="A14" s="46"/>
      <c r="D14" t="s">
        <v>780</v>
      </c>
      <c r="E14" s="50" t="s">
        <v>803</v>
      </c>
      <c r="F14" t="s">
        <v>830</v>
      </c>
    </row>
    <row r="15" spans="1:7" x14ac:dyDescent="0.35">
      <c r="A15" s="46"/>
      <c r="D15" t="s">
        <v>780</v>
      </c>
      <c r="E15" s="50" t="s">
        <v>817</v>
      </c>
      <c r="F15" t="s">
        <v>831</v>
      </c>
    </row>
    <row r="16" spans="1:7" x14ac:dyDescent="0.35">
      <c r="D16" t="s">
        <v>780</v>
      </c>
      <c r="E16" s="50" t="s">
        <v>818</v>
      </c>
      <c r="F16" t="s">
        <v>832</v>
      </c>
    </row>
    <row r="17" spans="4:6" x14ac:dyDescent="0.35">
      <c r="D17" t="s">
        <v>780</v>
      </c>
      <c r="E17" s="50" t="s">
        <v>819</v>
      </c>
      <c r="F17" t="s">
        <v>833</v>
      </c>
    </row>
    <row r="18" spans="4:6" x14ac:dyDescent="0.35">
      <c r="D18" t="s">
        <v>783</v>
      </c>
      <c r="E18" s="50" t="s">
        <v>805</v>
      </c>
      <c r="F18" t="s">
        <v>834</v>
      </c>
    </row>
    <row r="19" spans="4:6" x14ac:dyDescent="0.35">
      <c r="D19" t="s">
        <v>783</v>
      </c>
      <c r="E19" s="50" t="s">
        <v>800</v>
      </c>
      <c r="F19" t="s">
        <v>835</v>
      </c>
    </row>
    <row r="20" spans="4:6" x14ac:dyDescent="0.35">
      <c r="D20" t="s">
        <v>783</v>
      </c>
      <c r="E20" s="50" t="s">
        <v>820</v>
      </c>
      <c r="F20" t="s">
        <v>836</v>
      </c>
    </row>
    <row r="21" spans="4:6" x14ac:dyDescent="0.35">
      <c r="D21" t="s">
        <v>197</v>
      </c>
      <c r="E21" s="50" t="s">
        <v>821</v>
      </c>
      <c r="F21" t="s">
        <v>837</v>
      </c>
    </row>
    <row r="22" spans="4:6" x14ac:dyDescent="0.35">
      <c r="D22" t="s">
        <v>197</v>
      </c>
      <c r="E22" s="50" t="s">
        <v>782</v>
      </c>
      <c r="F22" t="s">
        <v>838</v>
      </c>
    </row>
    <row r="23" spans="4:6" x14ac:dyDescent="0.35">
      <c r="D23" t="s">
        <v>780</v>
      </c>
      <c r="E23" s="50" t="s">
        <v>797</v>
      </c>
      <c r="F23" t="s">
        <v>839</v>
      </c>
    </row>
    <row r="24" spans="4:6" x14ac:dyDescent="0.35">
      <c r="D24" t="s">
        <v>796</v>
      </c>
      <c r="E24" s="50" t="s">
        <v>822</v>
      </c>
      <c r="F24" t="s">
        <v>840</v>
      </c>
    </row>
    <row r="25" spans="4:6" x14ac:dyDescent="0.35">
      <c r="D25" t="s">
        <v>780</v>
      </c>
      <c r="E25" s="50" t="s">
        <v>823</v>
      </c>
      <c r="F25" t="s">
        <v>841</v>
      </c>
    </row>
    <row r="26" spans="4:6" x14ac:dyDescent="0.35">
      <c r="D26" t="s">
        <v>846</v>
      </c>
      <c r="E26" s="50" t="s">
        <v>847</v>
      </c>
    </row>
    <row r="27" spans="4:6" x14ac:dyDescent="0.35">
      <c r="E27" s="50"/>
    </row>
    <row r="28" spans="4:6" x14ac:dyDescent="0.35">
      <c r="E28" s="50"/>
    </row>
    <row r="29" spans="4:6" x14ac:dyDescent="0.35">
      <c r="E29" s="50"/>
    </row>
    <row r="30" spans="4:6" x14ac:dyDescent="0.35">
      <c r="E30" s="50"/>
    </row>
    <row r="31" spans="4:6" x14ac:dyDescent="0.35">
      <c r="E31" s="50"/>
    </row>
  </sheetData>
  <mergeCells count="5">
    <mergeCell ref="B4:E6"/>
    <mergeCell ref="B2:E2"/>
    <mergeCell ref="B3:E3"/>
    <mergeCell ref="F4:F6"/>
    <mergeCell ref="A4:A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plitContent">
                <anchor moveWithCells="1" sizeWithCells="1">
                  <from>
                    <xdr:col>0</xdr:col>
                    <xdr:colOff>1022350</xdr:colOff>
                    <xdr:row>0</xdr:row>
                    <xdr:rowOff>63500</xdr:rowOff>
                  </from>
                  <to>
                    <xdr:col>4</xdr:col>
                    <xdr:colOff>965200</xdr:colOff>
                    <xdr:row>0</xdr:row>
                    <xdr:rowOff>622300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2DD1C-A7D8-40FB-ACE1-DE9186AEFB51}">
  <sheetPr codeName="Sheet19"/>
  <dimension ref="A1:A32"/>
  <sheetViews>
    <sheetView topLeftCell="A8" workbookViewId="0">
      <selection activeCell="A23" sqref="A23"/>
    </sheetView>
  </sheetViews>
  <sheetFormatPr defaultRowHeight="14.5" x14ac:dyDescent="0.35"/>
  <cols>
    <col min="1" max="1" width="137.54296875" style="49" customWidth="1"/>
  </cols>
  <sheetData>
    <row r="1" spans="1:1" x14ac:dyDescent="0.35">
      <c r="A1" s="49" t="s">
        <v>842</v>
      </c>
    </row>
    <row r="2" spans="1:1" x14ac:dyDescent="0.35">
      <c r="A2" s="49" t="s">
        <v>794</v>
      </c>
    </row>
    <row r="3" spans="1:1" x14ac:dyDescent="0.35">
      <c r="A3" s="49" t="s">
        <v>811</v>
      </c>
    </row>
    <row r="4" spans="1:1" x14ac:dyDescent="0.35">
      <c r="A4" s="49" t="s">
        <v>812</v>
      </c>
    </row>
    <row r="5" spans="1:1" x14ac:dyDescent="0.35">
      <c r="A5" s="49" t="s">
        <v>813</v>
      </c>
    </row>
    <row r="6" spans="1:1" x14ac:dyDescent="0.35">
      <c r="A6" s="49" t="s">
        <v>795</v>
      </c>
    </row>
    <row r="7" spans="1:1" x14ac:dyDescent="0.35">
      <c r="A7" s="49" t="s">
        <v>789</v>
      </c>
    </row>
    <row r="8" spans="1:1" x14ac:dyDescent="0.35">
      <c r="A8" s="49" t="s">
        <v>790</v>
      </c>
    </row>
    <row r="9" spans="1:1" x14ac:dyDescent="0.35">
      <c r="A9" s="49" t="s">
        <v>791</v>
      </c>
    </row>
    <row r="10" spans="1:1" x14ac:dyDescent="0.35">
      <c r="A10" s="49" t="s">
        <v>843</v>
      </c>
    </row>
    <row r="11" spans="1:1" x14ac:dyDescent="0.35">
      <c r="A11" s="49" t="s">
        <v>824</v>
      </c>
    </row>
    <row r="12" spans="1:1" x14ac:dyDescent="0.35">
      <c r="A12" s="49" t="s">
        <v>825</v>
      </c>
    </row>
    <row r="13" spans="1:1" x14ac:dyDescent="0.35">
      <c r="A13" s="49" t="s">
        <v>826</v>
      </c>
    </row>
    <row r="14" spans="1:1" x14ac:dyDescent="0.35">
      <c r="A14" s="49" t="s">
        <v>827</v>
      </c>
    </row>
    <row r="15" spans="1:1" x14ac:dyDescent="0.35">
      <c r="A15" s="49" t="s">
        <v>828</v>
      </c>
    </row>
    <row r="16" spans="1:1" x14ac:dyDescent="0.35">
      <c r="A16" s="49" t="s">
        <v>829</v>
      </c>
    </row>
    <row r="17" spans="1:1" x14ac:dyDescent="0.35">
      <c r="A17" s="49" t="s">
        <v>830</v>
      </c>
    </row>
    <row r="18" spans="1:1" x14ac:dyDescent="0.35">
      <c r="A18" s="49" t="s">
        <v>831</v>
      </c>
    </row>
    <row r="19" spans="1:1" x14ac:dyDescent="0.35">
      <c r="A19" s="49" t="s">
        <v>832</v>
      </c>
    </row>
    <row r="20" spans="1:1" x14ac:dyDescent="0.35">
      <c r="A20" s="49" t="s">
        <v>833</v>
      </c>
    </row>
    <row r="21" spans="1:1" x14ac:dyDescent="0.35">
      <c r="A21" s="49" t="s">
        <v>834</v>
      </c>
    </row>
    <row r="22" spans="1:1" x14ac:dyDescent="0.35">
      <c r="A22" s="49" t="s">
        <v>835</v>
      </c>
    </row>
    <row r="23" spans="1:1" x14ac:dyDescent="0.35">
      <c r="A23" s="49" t="s">
        <v>836</v>
      </c>
    </row>
    <row r="24" spans="1:1" x14ac:dyDescent="0.35">
      <c r="A24" s="49" t="s">
        <v>837</v>
      </c>
    </row>
    <row r="25" spans="1:1" x14ac:dyDescent="0.35">
      <c r="A25" s="49" t="s">
        <v>838</v>
      </c>
    </row>
    <row r="26" spans="1:1" x14ac:dyDescent="0.35">
      <c r="A26" s="49" t="s">
        <v>839</v>
      </c>
    </row>
    <row r="27" spans="1:1" x14ac:dyDescent="0.35">
      <c r="A27" s="49" t="s">
        <v>840</v>
      </c>
    </row>
    <row r="28" spans="1:1" x14ac:dyDescent="0.35">
      <c r="A28" s="49" t="s">
        <v>841</v>
      </c>
    </row>
    <row r="29" spans="1:1" x14ac:dyDescent="0.35">
      <c r="A29" s="49" t="s">
        <v>844</v>
      </c>
    </row>
    <row r="30" spans="1:1" x14ac:dyDescent="0.35">
      <c r="A30" s="49" t="s">
        <v>792</v>
      </c>
    </row>
    <row r="31" spans="1:1" x14ac:dyDescent="0.35">
      <c r="A31" s="49" t="s">
        <v>793</v>
      </c>
    </row>
    <row r="32" spans="1:1" x14ac:dyDescent="0.35">
      <c r="A32" s="49" t="s">
        <v>845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Questionnaire</vt:lpstr>
      <vt:lpstr>Health Score Algorithm</vt:lpstr>
      <vt:lpstr>Interpreted Score</vt:lpstr>
      <vt:lpstr>BP Reference Range</vt:lpstr>
      <vt:lpstr>Glucose Reference Range</vt:lpstr>
      <vt:lpstr>customer</vt:lpstr>
      <vt:lpstr>group</vt:lpstr>
      <vt:lpstr>question</vt:lpstr>
      <vt:lpstr>response</vt:lpstr>
      <vt:lpstr>question_relation</vt:lpstr>
      <vt:lpstr>test_bundle</vt:lpstr>
      <vt:lpstr>test_detail</vt:lpstr>
      <vt:lpstr>test_result</vt:lpstr>
      <vt:lpstr>test_trigger</vt:lpstr>
      <vt:lpstr>Decision Tree</vt:lpstr>
      <vt:lpstr>customer_response</vt:lpstr>
      <vt:lpstr>questionnaire_input</vt:lpstr>
      <vt:lpstr>bmi</vt:lpstr>
      <vt:lpstr>waist_hip</vt:lpstr>
      <vt:lpstr>sleep</vt:lpstr>
      <vt:lpstr>config</vt:lpstr>
      <vt:lpstr>language</vt:lpstr>
      <vt:lpstr>Sheet1</vt:lpstr>
      <vt:lpstr>ObjectInputSet</vt:lpstr>
      <vt:lpstr>QueryOutput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NOTIKA</dc:creator>
  <cp:lastModifiedBy>Raminder Ahlawat</cp:lastModifiedBy>
  <dcterms:created xsi:type="dcterms:W3CDTF">2023-12-07T13:54:26Z</dcterms:created>
  <dcterms:modified xsi:type="dcterms:W3CDTF">2024-07-23T01:35:00Z</dcterms:modified>
</cp:coreProperties>
</file>